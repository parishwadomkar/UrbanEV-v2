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arp\Desktop\"/>
    </mc:Choice>
  </mc:AlternateContent>
  <xr:revisionPtr revIDLastSave="0" documentId="13_ncr:1_{AB607C3B-50C7-41BE-98CA-F3527B838900}" xr6:coauthVersionLast="47" xr6:coauthVersionMax="47" xr10:uidLastSave="{00000000-0000-0000-0000-000000000000}"/>
  <bookViews>
    <workbookView xWindow="-28920" yWindow="-120" windowWidth="29040" windowHeight="15720" xr2:uid="{6821066C-540C-4665-B15E-2D9BB49D2611}"/>
  </bookViews>
  <sheets>
    <sheet name="Sheet1" sheetId="1" r:id="rId1"/>
    <sheet name="Spring" sheetId="6" r:id="rId2"/>
    <sheet name="Summer" sheetId="2" r:id="rId3"/>
    <sheet name="Autumn" sheetId="5" r:id="rId4"/>
    <sheet name="Wint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5" l="1"/>
  <c r="O17" i="5"/>
  <c r="O13" i="5"/>
  <c r="O10" i="5"/>
  <c r="O8" i="5"/>
  <c r="O2" i="5"/>
  <c r="P23" i="6"/>
  <c r="P18" i="6"/>
  <c r="P16" i="6"/>
  <c r="P13" i="6"/>
  <c r="P11" i="6"/>
  <c r="O19" i="6"/>
  <c r="O18" i="6"/>
  <c r="O14" i="6"/>
  <c r="O12" i="6"/>
  <c r="O9" i="6"/>
  <c r="O8" i="6"/>
  <c r="O2" i="2"/>
  <c r="O2" i="6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" i="5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O24" i="6" s="1"/>
  <c r="S25" i="6"/>
  <c r="S2" i="6"/>
  <c r="P16" i="3"/>
  <c r="O10" i="3"/>
  <c r="O13" i="3"/>
  <c r="O18" i="3"/>
  <c r="O22" i="3"/>
  <c r="O8" i="3"/>
  <c r="O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" i="3"/>
  <c r="O12" i="2"/>
  <c r="O24" i="2"/>
  <c r="S3" i="2"/>
  <c r="S4" i="2"/>
  <c r="S5" i="2"/>
  <c r="S6" i="2"/>
  <c r="S7" i="2"/>
  <c r="S8" i="2"/>
  <c r="O8" i="2" s="1"/>
  <c r="S9" i="2"/>
  <c r="S10" i="2"/>
  <c r="O10" i="2" s="1"/>
  <c r="S11" i="2"/>
  <c r="S12" i="2"/>
  <c r="S13" i="2"/>
  <c r="S14" i="2"/>
  <c r="S15" i="2"/>
  <c r="S16" i="2"/>
  <c r="S17" i="2"/>
  <c r="S18" i="2"/>
  <c r="S19" i="2"/>
  <c r="O19" i="2" s="1"/>
  <c r="S20" i="2"/>
  <c r="S21" i="2"/>
  <c r="S22" i="2"/>
  <c r="O22" i="2" s="1"/>
  <c r="S23" i="2"/>
  <c r="S24" i="2"/>
  <c r="S25" i="2"/>
  <c r="S2" i="2"/>
  <c r="P5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R3" i="1"/>
  <c r="R4" i="1"/>
  <c r="R5" i="1"/>
  <c r="R6" i="1"/>
  <c r="R7" i="1"/>
  <c r="R8" i="1"/>
  <c r="O8" i="1" s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O29" i="6" l="1"/>
  <c r="O29" i="5"/>
  <c r="P9" i="5" s="1"/>
  <c r="N8" i="1"/>
  <c r="O2" i="1"/>
  <c r="O29" i="3"/>
  <c r="P25" i="3" s="1"/>
  <c r="O29" i="2"/>
  <c r="P9" i="2" s="1"/>
  <c r="P8" i="6" l="1"/>
  <c r="P4" i="6"/>
  <c r="P25" i="6"/>
  <c r="P16" i="5"/>
  <c r="P25" i="5"/>
  <c r="P4" i="5"/>
  <c r="P11" i="5"/>
  <c r="P20" i="5"/>
  <c r="O29" i="1"/>
  <c r="P11" i="3"/>
  <c r="P4" i="3"/>
  <c r="P9" i="3"/>
  <c r="P20" i="3"/>
  <c r="P4" i="2"/>
  <c r="P23" i="2"/>
  <c r="P20" i="2"/>
  <c r="P11" i="2"/>
  <c r="P25" i="2"/>
  <c r="P16" i="2"/>
  <c r="P16" i="1" l="1"/>
  <c r="P11" i="1"/>
  <c r="P25" i="1"/>
  <c r="P23" i="1"/>
  <c r="P20" i="1"/>
  <c r="P9" i="1"/>
  <c r="P4" i="1"/>
</calcChain>
</file>

<file path=xl/sharedStrings.xml><?xml version="1.0" encoding="utf-8"?>
<sst xmlns="http://schemas.openxmlformats.org/spreadsheetml/2006/main" count="238" uniqueCount="53">
  <si>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</si>
  <si>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</si>
  <si>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</si>
  <si>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</si>
  <si>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</si>
  <si>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</si>
  <si>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</si>
  <si>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</si>
  <si>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</si>
  <si>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</si>
  <si>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</si>
  <si>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</si>
  <si>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</si>
  <si>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</si>
  <si>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</si>
  <si>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</si>
  <si>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</si>
  <si>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</si>
  <si>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</si>
  <si>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</si>
  <si>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</si>
  <si>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</si>
  <si>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</si>
  <si>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</si>
  <si>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</si>
  <si>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</si>
  <si>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</si>
  <si>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</si>
  <si>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</si>
  <si>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</si>
  <si>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</si>
  <si>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</si>
  <si>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</si>
  <si>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</si>
  <si>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</si>
  <si>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</si>
  <si>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Avg</t>
  </si>
  <si>
    <t>*Values in öre/kWh</t>
  </si>
  <si>
    <t>Multiplier</t>
  </si>
  <si>
    <t>1sek = 100 öre</t>
  </si>
  <si>
    <t>Link:</t>
  </si>
  <si>
    <t>https://www.nordpoolgroup.com/en/market-data12/Dayahead/Area-Prices/SE/Hourly/?view=table</t>
  </si>
  <si>
    <t>Summer</t>
  </si>
  <si>
    <t>Winter</t>
  </si>
  <si>
    <t>0.9</t>
  </si>
  <si>
    <t>0.8</t>
  </si>
  <si>
    <t>1.2</t>
  </si>
  <si>
    <t>1.0</t>
  </si>
  <si>
    <t>Hour</t>
  </si>
  <si>
    <t>1.4</t>
  </si>
  <si>
    <t>2.5kr/h</t>
  </si>
  <si>
    <t>Autumn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</si>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</sst>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E1E1E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7F7F7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" fontId="0" fillId="0" borderId="0" xfId="1" applyNumberFormat="1" applyFont="1"/>
    <xf numFmtId="2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4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2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4" borderId="0" xfId="0" applyNumberFormat="1" applyFill="1" applyAlignment="1">
      <alignment horizontal="center" vertical="center"/>
    </xf>
    <xf numFmtId="2" fontId="0" fillId="4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Spring!$W$1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Spring!$V$2:$V$25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Spring!$W$2:$W$25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1.6</c:v>
                </c:pt>
                <c:pt idx="9">
                  <c:v>1.6</c:v>
                </c:pt>
                <c:pt idx="10">
                  <c:v>1</c:v>
                </c:pt>
                <c:pt idx="11">
                  <c:v>1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1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5-4FC6-9868-0F536E81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5332608"/>
        <c:axId val="1625336448"/>
      </c:barChart>
      <c:catAx>
        <c:axId val="16253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6448"/>
        <c:crosses val="autoZero"/>
        <c:auto val="1"/>
        <c:lblAlgn val="ctr"/>
        <c:lblOffset val="100"/>
        <c:noMultiLvlLbl val="0"/>
      </c:catAx>
      <c:valAx>
        <c:axId val="162533644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Summer!$W$1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Summer!$V$2:$V$25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Summer!$W$2:$W$25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1.1499999999999999</c:v>
                </c:pt>
                <c:pt idx="9">
                  <c:v>1.1499999999999999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</c:v>
                </c:pt>
                <c:pt idx="21">
                  <c:v>1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363-8545-3DFD26963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5332608"/>
        <c:axId val="1625336448"/>
      </c:barChart>
      <c:catAx>
        <c:axId val="16253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6448"/>
        <c:crosses val="autoZero"/>
        <c:auto val="1"/>
        <c:lblAlgn val="ctr"/>
        <c:lblOffset val="100"/>
        <c:noMultiLvlLbl val="0"/>
      </c:catAx>
      <c:valAx>
        <c:axId val="162533644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Autumn!$W$1</c:f>
              <c:strCache>
                <c:ptCount val="1"/>
                <c:pt idx="0">
                  <c:v>Autumn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Autumn!$V$2:$V$25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Autumn!$W$2:$W$25</c:f>
              <c:numCache>
                <c:formatCode>0.00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1</c:v>
                </c:pt>
                <c:pt idx="7">
                  <c:v>1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0.9</c:v>
                </c:pt>
                <c:pt idx="12" formatCode="General">
                  <c:v>0.9</c:v>
                </c:pt>
                <c:pt idx="13" formatCode="General">
                  <c:v>0.9</c:v>
                </c:pt>
                <c:pt idx="14" formatCode="General">
                  <c:v>0.9</c:v>
                </c:pt>
                <c:pt idx="15" formatCode="General">
                  <c:v>1</c:v>
                </c:pt>
                <c:pt idx="16" formatCode="General">
                  <c:v>1</c:v>
                </c:pt>
                <c:pt idx="17" formatCode="General">
                  <c:v>1</c:v>
                </c:pt>
                <c:pt idx="18" formatCode="General">
                  <c:v>1</c:v>
                </c:pt>
                <c:pt idx="19" formatCode="General">
                  <c:v>1</c:v>
                </c:pt>
                <c:pt idx="20">
                  <c:v>1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4-40F8-869A-888C584D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5332608"/>
        <c:axId val="1625336448"/>
      </c:barChart>
      <c:catAx>
        <c:axId val="16253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6448"/>
        <c:crosses val="autoZero"/>
        <c:auto val="1"/>
        <c:lblAlgn val="ctr"/>
        <c:lblOffset val="100"/>
        <c:noMultiLvlLbl val="0"/>
      </c:catAx>
      <c:valAx>
        <c:axId val="162533644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Winter!$W$1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Winter!$V$2:$V$25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Winter!$W$2:$W$25</c:f>
              <c:numCache>
                <c:formatCode>0.00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 formatCode="General">
                  <c:v>1</c:v>
                </c:pt>
                <c:pt idx="13" formatCode="General">
                  <c:v>1</c:v>
                </c:pt>
                <c:pt idx="14" formatCode="General">
                  <c:v>1</c:v>
                </c:pt>
                <c:pt idx="15" formatCode="General">
                  <c:v>1</c:v>
                </c:pt>
                <c:pt idx="16" formatCode="General">
                  <c:v>1.2</c:v>
                </c:pt>
                <c:pt idx="17" formatCode="General">
                  <c:v>1.2</c:v>
                </c:pt>
                <c:pt idx="18" formatCode="General">
                  <c:v>1.2</c:v>
                </c:pt>
                <c:pt idx="19" formatCode="General">
                  <c:v>1.2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1-460F-912D-F4268124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5332608"/>
        <c:axId val="1625336448"/>
      </c:barChart>
      <c:catAx>
        <c:axId val="16253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6448"/>
        <c:crosses val="autoZero"/>
        <c:auto val="1"/>
        <c:lblAlgn val="ctr"/>
        <c:lblOffset val="100"/>
        <c:noMultiLvlLbl val="0"/>
      </c:catAx>
      <c:valAx>
        <c:axId val="162533644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253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98107</xdr:colOff>
      <xdr:row>3</xdr:row>
      <xdr:rowOff>76200</xdr:rowOff>
    </xdr:from>
    <xdr:to>
      <xdr:col>32</xdr:col>
      <xdr:colOff>390525</xdr:colOff>
      <xdr:row>22</xdr:row>
      <xdr:rowOff>60007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43DD4-D9A5-48A9-A24D-5062A9EDB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98107</xdr:colOff>
      <xdr:row>3</xdr:row>
      <xdr:rowOff>76200</xdr:rowOff>
    </xdr:from>
    <xdr:to>
      <xdr:col>32</xdr:col>
      <xdr:colOff>390525</xdr:colOff>
      <xdr:row>22</xdr:row>
      <xdr:rowOff>60007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B97AF-729A-A209-9D69-EAED5CC16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91440</xdr:colOff>
      <xdr:row>5</xdr:row>
      <xdr:rowOff>0</xdr:rowOff>
    </xdr:from>
    <xdr:to>
      <xdr:col>33</xdr:col>
      <xdr:colOff>600075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2B704-1C7D-4208-B766-6964F676F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91440</xdr:colOff>
      <xdr:row>5</xdr:row>
      <xdr:rowOff>0</xdr:rowOff>
    </xdr:from>
    <xdr:to>
      <xdr:col>33</xdr:col>
      <xdr:colOff>600075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2F4C1-6709-44F9-AEE0-E28E7D1A9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A6A6-D3D6-49DB-812C-C586CF041E8E}">
  <dimension ref="A1:R63"/>
  <sheetViews>
    <sheetView tabSelected="1" zoomScale="70" zoomScaleNormal="70" workbookViewId="0">
      <selection activeCell="V39" sqref="V39"/>
    </sheetView>
  </sheetViews>
  <sheetFormatPr defaultRowHeight="15" x14ac:dyDescent="0.25"/>
  <cols>
    <col min="1" max="1" width="9.140625" style="1"/>
    <col min="16" max="16" width="18.7109375" customWidth="1"/>
    <col min="18" max="18" width="9.140625" customWidth="1"/>
  </cols>
  <sheetData>
    <row r="1" spans="1:18" s="1" customFormat="1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  <c r="P1" s="1" t="s">
        <v>38</v>
      </c>
      <c r="Q1" s="1" t="s">
        <v>36</v>
      </c>
      <c r="R1" s="1" t="s">
        <v>36</v>
      </c>
    </row>
    <row r="2" spans="1:18" x14ac:dyDescent="0.25">
      <c r="A2" s="6" t="s">
        <v>0</v>
      </c>
      <c r="B2" s="5">
        <v>27.4</v>
      </c>
      <c r="C2" s="5">
        <v>72.17</v>
      </c>
      <c r="D2" s="5">
        <v>59.83</v>
      </c>
      <c r="E2" s="5">
        <v>28.21</v>
      </c>
      <c r="F2" s="5">
        <v>4.6500000000000004</v>
      </c>
      <c r="G2" s="5">
        <v>52.65</v>
      </c>
      <c r="H2" s="5">
        <v>37.340000000000003</v>
      </c>
      <c r="I2" s="5">
        <v>17.04</v>
      </c>
      <c r="J2" s="5">
        <v>14.49</v>
      </c>
      <c r="K2" s="5">
        <v>-4.37</v>
      </c>
      <c r="L2" s="5">
        <v>81.099999999999994</v>
      </c>
      <c r="M2" s="5">
        <v>86.13</v>
      </c>
      <c r="N2" s="5">
        <v>0.36549999999999999</v>
      </c>
      <c r="O2" s="19">
        <f>AVERAGE(R2:R7, R24:R25)</f>
        <v>37.219479166666673</v>
      </c>
      <c r="P2" s="11"/>
      <c r="Q2" s="8">
        <v>36.549999999999997</v>
      </c>
      <c r="R2" s="4">
        <f t="shared" ref="R2:R25" si="0">AVERAGE(B2:M2)</f>
        <v>39.72</v>
      </c>
    </row>
    <row r="3" spans="1:18" x14ac:dyDescent="0.25">
      <c r="A3" s="7" t="s">
        <v>1</v>
      </c>
      <c r="B3" s="5">
        <v>27.23</v>
      </c>
      <c r="C3" s="5">
        <v>69.290000000000006</v>
      </c>
      <c r="D3" s="5">
        <v>56.95</v>
      </c>
      <c r="E3" s="5">
        <v>28.15</v>
      </c>
      <c r="F3" s="5">
        <v>4.63</v>
      </c>
      <c r="G3" s="5">
        <v>48.47</v>
      </c>
      <c r="H3" s="5">
        <v>36.57</v>
      </c>
      <c r="I3" s="5">
        <v>16</v>
      </c>
      <c r="J3" s="5">
        <v>13.91</v>
      </c>
      <c r="K3" s="5">
        <v>-4.4000000000000004</v>
      </c>
      <c r="L3" s="5">
        <v>76.42</v>
      </c>
      <c r="M3" s="5">
        <v>82.93</v>
      </c>
      <c r="N3" s="5">
        <v>0.36549999999999999</v>
      </c>
      <c r="O3" s="19"/>
      <c r="P3" s="11"/>
      <c r="Q3" s="8">
        <v>36.549999999999997</v>
      </c>
      <c r="R3" s="4">
        <f t="shared" si="0"/>
        <v>38.01250000000001</v>
      </c>
    </row>
    <row r="4" spans="1:18" x14ac:dyDescent="0.25">
      <c r="A4" s="6" t="s">
        <v>2</v>
      </c>
      <c r="B4" s="5">
        <v>24.28</v>
      </c>
      <c r="C4" s="5">
        <v>66.94</v>
      </c>
      <c r="D4" s="5">
        <v>56.94</v>
      </c>
      <c r="E4" s="5">
        <v>28.59</v>
      </c>
      <c r="F4" s="5">
        <v>4.8</v>
      </c>
      <c r="G4" s="5">
        <v>48.34</v>
      </c>
      <c r="H4" s="5">
        <v>29.15</v>
      </c>
      <c r="I4" s="5">
        <v>14.89</v>
      </c>
      <c r="J4" s="5">
        <v>13.19</v>
      </c>
      <c r="K4" s="5">
        <v>-4.43</v>
      </c>
      <c r="L4" s="5">
        <v>72.900000000000006</v>
      </c>
      <c r="M4" s="5">
        <v>80.099999999999994</v>
      </c>
      <c r="N4" s="5">
        <v>0.36549999999999999</v>
      </c>
      <c r="O4" s="19"/>
      <c r="P4" s="11">
        <f>O2/$O$29</f>
        <v>0.70293029432222975</v>
      </c>
      <c r="Q4" s="8">
        <v>36.549999999999997</v>
      </c>
      <c r="R4" s="4">
        <f t="shared" si="0"/>
        <v>36.307500000000005</v>
      </c>
    </row>
    <row r="5" spans="1:18" x14ac:dyDescent="0.25">
      <c r="A5" s="7" t="s">
        <v>3</v>
      </c>
      <c r="B5" s="5">
        <v>13</v>
      </c>
      <c r="C5" s="5">
        <v>67.78</v>
      </c>
      <c r="D5" s="5">
        <v>56.97</v>
      </c>
      <c r="E5" s="5">
        <v>29.92</v>
      </c>
      <c r="F5" s="5">
        <v>5.0999999999999996</v>
      </c>
      <c r="G5" s="5">
        <v>50.26</v>
      </c>
      <c r="H5" s="5">
        <v>19.95</v>
      </c>
      <c r="I5" s="5">
        <v>15.18</v>
      </c>
      <c r="J5" s="5">
        <v>12.47</v>
      </c>
      <c r="K5" s="5">
        <v>-4.3499999999999996</v>
      </c>
      <c r="L5" s="5">
        <v>70.69</v>
      </c>
      <c r="M5" s="5">
        <v>76.55</v>
      </c>
      <c r="N5" s="5">
        <v>0.36549999999999999</v>
      </c>
      <c r="O5" s="19"/>
      <c r="P5" s="11">
        <f>37.22/52.95</f>
        <v>0.7029272898961284</v>
      </c>
      <c r="Q5" s="8">
        <v>36.549999999999997</v>
      </c>
      <c r="R5" s="4">
        <f t="shared" si="0"/>
        <v>34.46</v>
      </c>
    </row>
    <row r="6" spans="1:18" x14ac:dyDescent="0.25">
      <c r="A6" s="6" t="s">
        <v>4</v>
      </c>
      <c r="B6" s="5">
        <v>7.98</v>
      </c>
      <c r="C6" s="5">
        <v>72.17</v>
      </c>
      <c r="D6" s="5">
        <v>54.97</v>
      </c>
      <c r="E6" s="5">
        <v>32.32</v>
      </c>
      <c r="F6" s="5">
        <v>5.28</v>
      </c>
      <c r="G6" s="5">
        <v>51.87</v>
      </c>
      <c r="H6" s="5">
        <v>16.98</v>
      </c>
      <c r="I6" s="5">
        <v>15.31</v>
      </c>
      <c r="J6" s="5">
        <v>12.5</v>
      </c>
      <c r="K6" s="5">
        <v>-4.33</v>
      </c>
      <c r="L6" s="5">
        <v>74.45</v>
      </c>
      <c r="M6" s="5">
        <v>75.16</v>
      </c>
      <c r="N6" s="5">
        <v>0.36549999999999999</v>
      </c>
      <c r="O6" s="19"/>
      <c r="P6" s="11"/>
      <c r="Q6" s="8">
        <v>36.549999999999997</v>
      </c>
      <c r="R6" s="4">
        <f t="shared" si="0"/>
        <v>34.555</v>
      </c>
    </row>
    <row r="7" spans="1:18" x14ac:dyDescent="0.25">
      <c r="A7" s="7" t="s">
        <v>5</v>
      </c>
      <c r="B7" s="5">
        <v>4.8499999999999996</v>
      </c>
      <c r="C7" s="5">
        <v>69.290000000000006</v>
      </c>
      <c r="D7" s="5">
        <v>57.23</v>
      </c>
      <c r="E7" s="5">
        <v>38.01</v>
      </c>
      <c r="F7" s="5">
        <v>6.69</v>
      </c>
      <c r="G7" s="5">
        <v>58.5</v>
      </c>
      <c r="H7" s="5">
        <v>13.69</v>
      </c>
      <c r="I7" s="5">
        <v>17.350000000000001</v>
      </c>
      <c r="J7" s="5">
        <v>12.49</v>
      </c>
      <c r="K7" s="5">
        <v>-3.97</v>
      </c>
      <c r="L7" s="5">
        <v>80.680000000000007</v>
      </c>
      <c r="M7" s="5">
        <v>80.41</v>
      </c>
      <c r="N7" s="5">
        <v>0.36549999999999999</v>
      </c>
      <c r="O7" s="19"/>
      <c r="Q7" s="8">
        <v>36.549999999999997</v>
      </c>
      <c r="R7" s="4">
        <f t="shared" si="0"/>
        <v>36.268333333333338</v>
      </c>
    </row>
    <row r="8" spans="1:18" x14ac:dyDescent="0.25">
      <c r="A8" s="2" t="s">
        <v>6</v>
      </c>
      <c r="B8" s="5">
        <v>6.05</v>
      </c>
      <c r="C8" s="5">
        <v>109.05</v>
      </c>
      <c r="D8" s="5">
        <v>112.86</v>
      </c>
      <c r="E8" s="5">
        <v>39.11</v>
      </c>
      <c r="F8" s="5">
        <v>14.51</v>
      </c>
      <c r="G8" s="5">
        <v>60.69</v>
      </c>
      <c r="H8" s="5">
        <v>19.899999999999999</v>
      </c>
      <c r="I8" s="5">
        <v>19.170000000000002</v>
      </c>
      <c r="J8" s="5">
        <v>13.93</v>
      </c>
      <c r="K8" s="5">
        <v>-3.32</v>
      </c>
      <c r="L8" s="5">
        <v>98.69</v>
      </c>
      <c r="M8" s="5">
        <v>95.97</v>
      </c>
      <c r="N8" s="5">
        <f>O8/100</f>
        <v>0.56143750000000003</v>
      </c>
      <c r="O8" s="20">
        <f>AVERAGE(R8:R9)</f>
        <v>56.143750000000004</v>
      </c>
      <c r="P8" s="9"/>
      <c r="Q8" s="8">
        <v>56.14</v>
      </c>
      <c r="R8" s="4">
        <f t="shared" si="0"/>
        <v>48.884166666666665</v>
      </c>
    </row>
    <row r="9" spans="1:18" x14ac:dyDescent="0.25">
      <c r="A9" s="3" t="s">
        <v>7</v>
      </c>
      <c r="B9" s="5">
        <v>10.09</v>
      </c>
      <c r="C9" s="5">
        <v>112.97</v>
      </c>
      <c r="D9" s="5">
        <v>136.33000000000001</v>
      </c>
      <c r="E9" s="5">
        <v>41.17</v>
      </c>
      <c r="F9" s="5">
        <v>92.26</v>
      </c>
      <c r="G9" s="5">
        <v>67.459999999999994</v>
      </c>
      <c r="H9" s="5">
        <v>22.6</v>
      </c>
      <c r="I9" s="5">
        <v>22.86</v>
      </c>
      <c r="J9" s="5">
        <v>28.97</v>
      </c>
      <c r="K9" s="5">
        <v>-3.01</v>
      </c>
      <c r="L9" s="5">
        <v>122.19</v>
      </c>
      <c r="M9" s="5">
        <v>106.95</v>
      </c>
      <c r="N9" s="5">
        <f t="shared" ref="N9:N25" si="1">O9/100</f>
        <v>0</v>
      </c>
      <c r="O9" s="20"/>
      <c r="P9" s="11">
        <f>O8/$O$29</f>
        <v>1.0603357058042395</v>
      </c>
      <c r="Q9" s="8">
        <v>56.14</v>
      </c>
      <c r="R9" s="4">
        <f t="shared" si="0"/>
        <v>63.403333333333343</v>
      </c>
    </row>
    <row r="10" spans="1:18" x14ac:dyDescent="0.25">
      <c r="A10" s="2" t="s">
        <v>8</v>
      </c>
      <c r="B10" s="5">
        <v>14.03</v>
      </c>
      <c r="C10" s="5">
        <v>182.72</v>
      </c>
      <c r="D10" s="5">
        <v>148.68</v>
      </c>
      <c r="E10" s="5">
        <v>50.05</v>
      </c>
      <c r="F10" s="5">
        <v>94.13</v>
      </c>
      <c r="G10" s="5">
        <v>72.260000000000005</v>
      </c>
      <c r="H10" s="5">
        <v>29.87</v>
      </c>
      <c r="I10" s="5">
        <v>26.26</v>
      </c>
      <c r="J10" s="5">
        <v>125.07</v>
      </c>
      <c r="K10" s="5">
        <v>-2.61</v>
      </c>
      <c r="L10" s="5">
        <v>128.59</v>
      </c>
      <c r="M10" s="5">
        <v>121.5</v>
      </c>
      <c r="N10" s="5">
        <f t="shared" si="1"/>
        <v>0.77700000000000002</v>
      </c>
      <c r="O10" s="21">
        <v>77.7</v>
      </c>
      <c r="P10" s="12"/>
      <c r="Q10" s="8">
        <v>77.7</v>
      </c>
      <c r="R10" s="4">
        <f t="shared" si="0"/>
        <v>82.545833333333334</v>
      </c>
    </row>
    <row r="11" spans="1:18" x14ac:dyDescent="0.25">
      <c r="A11" s="3" t="s">
        <v>9</v>
      </c>
      <c r="B11" s="5">
        <v>19.07</v>
      </c>
      <c r="C11" s="5">
        <v>150.97999999999999</v>
      </c>
      <c r="D11" s="5">
        <v>111.63</v>
      </c>
      <c r="E11" s="5">
        <v>50.02</v>
      </c>
      <c r="F11" s="5">
        <v>87.33</v>
      </c>
      <c r="G11" s="5">
        <v>69.900000000000006</v>
      </c>
      <c r="H11" s="5">
        <v>17.41</v>
      </c>
      <c r="I11" s="5">
        <v>27.94</v>
      </c>
      <c r="J11" s="5">
        <v>104.38</v>
      </c>
      <c r="K11" s="5">
        <v>-3.03</v>
      </c>
      <c r="L11" s="5">
        <v>121.29</v>
      </c>
      <c r="M11" s="5">
        <v>117.44</v>
      </c>
      <c r="N11" s="5">
        <f t="shared" si="1"/>
        <v>0</v>
      </c>
      <c r="O11" s="21"/>
      <c r="P11" s="11">
        <f>O10/$O$29</f>
        <v>1.4674489028785822</v>
      </c>
      <c r="Q11" s="8">
        <v>77.7</v>
      </c>
      <c r="R11" s="4">
        <f t="shared" si="0"/>
        <v>72.86333333333333</v>
      </c>
    </row>
    <row r="12" spans="1:18" x14ac:dyDescent="0.25">
      <c r="A12" s="2" t="s">
        <v>10</v>
      </c>
      <c r="B12" s="5">
        <v>17.829999999999998</v>
      </c>
      <c r="C12" s="5">
        <v>128.66999999999999</v>
      </c>
      <c r="D12" s="5">
        <v>103.27</v>
      </c>
      <c r="E12" s="5">
        <v>43.93</v>
      </c>
      <c r="F12" s="5">
        <v>52.98</v>
      </c>
      <c r="G12" s="5">
        <v>68.540000000000006</v>
      </c>
      <c r="H12" s="5">
        <v>4.6900000000000004</v>
      </c>
      <c r="I12" s="5">
        <v>25.97</v>
      </c>
      <c r="J12" s="5">
        <v>49.94</v>
      </c>
      <c r="K12" s="5">
        <v>-3.01</v>
      </c>
      <c r="L12" s="5">
        <v>112.78</v>
      </c>
      <c r="M12" s="5">
        <v>109.97</v>
      </c>
      <c r="N12" s="5">
        <f t="shared" si="1"/>
        <v>0.4889</v>
      </c>
      <c r="O12" s="17">
        <v>48.89</v>
      </c>
      <c r="P12" s="10"/>
      <c r="Q12" s="8">
        <v>48.89</v>
      </c>
      <c r="R12" s="4">
        <f t="shared" si="0"/>
        <v>59.63</v>
      </c>
    </row>
    <row r="13" spans="1:18" x14ac:dyDescent="0.25">
      <c r="A13" s="3" t="s">
        <v>11</v>
      </c>
      <c r="B13" s="5">
        <v>11.7</v>
      </c>
      <c r="C13" s="5">
        <v>114.74</v>
      </c>
      <c r="D13" s="5">
        <v>60.06</v>
      </c>
      <c r="E13" s="5">
        <v>41.4</v>
      </c>
      <c r="F13" s="5">
        <v>30.45</v>
      </c>
      <c r="G13" s="5">
        <v>67.73</v>
      </c>
      <c r="H13" s="5">
        <v>0.02</v>
      </c>
      <c r="I13" s="5">
        <v>24.59</v>
      </c>
      <c r="J13" s="5">
        <v>28.96</v>
      </c>
      <c r="K13" s="5">
        <v>-3.04</v>
      </c>
      <c r="L13" s="5">
        <v>99.84</v>
      </c>
      <c r="M13" s="5">
        <v>102.75</v>
      </c>
      <c r="N13" s="5">
        <f t="shared" si="1"/>
        <v>0</v>
      </c>
      <c r="O13" s="17"/>
      <c r="P13" s="10"/>
      <c r="Q13" s="8">
        <v>48.89</v>
      </c>
      <c r="R13" s="4">
        <f t="shared" si="0"/>
        <v>48.266666666666659</v>
      </c>
    </row>
    <row r="14" spans="1:18" x14ac:dyDescent="0.25">
      <c r="A14" s="2" t="s">
        <v>12</v>
      </c>
      <c r="B14" s="5">
        <v>6.93</v>
      </c>
      <c r="C14" s="5">
        <v>113.52</v>
      </c>
      <c r="D14" s="5">
        <v>53.13</v>
      </c>
      <c r="E14" s="5">
        <v>40.549999999999997</v>
      </c>
      <c r="F14" s="5">
        <v>14.94</v>
      </c>
      <c r="G14" s="5">
        <v>68.069999999999993</v>
      </c>
      <c r="H14" s="5">
        <v>0.01</v>
      </c>
      <c r="I14" s="5">
        <v>23.85</v>
      </c>
      <c r="J14" s="5">
        <v>21.98</v>
      </c>
      <c r="K14" s="5">
        <v>-3.07</v>
      </c>
      <c r="L14" s="5">
        <v>97.36</v>
      </c>
      <c r="M14" s="5">
        <v>94.13</v>
      </c>
      <c r="N14" s="5">
        <f t="shared" si="1"/>
        <v>0</v>
      </c>
      <c r="O14" s="17"/>
      <c r="P14" s="10"/>
      <c r="Q14" s="8">
        <v>48.89</v>
      </c>
      <c r="R14" s="4">
        <f t="shared" si="0"/>
        <v>44.283333333333339</v>
      </c>
    </row>
    <row r="15" spans="1:18" x14ac:dyDescent="0.25">
      <c r="A15" s="3" t="s">
        <v>13</v>
      </c>
      <c r="B15" s="5">
        <v>6.04</v>
      </c>
      <c r="C15" s="5">
        <v>112.87</v>
      </c>
      <c r="D15" s="5">
        <v>50.77</v>
      </c>
      <c r="E15" s="5">
        <v>40.01</v>
      </c>
      <c r="F15" s="5">
        <v>11.62</v>
      </c>
      <c r="G15" s="5">
        <v>70.150000000000006</v>
      </c>
      <c r="H15" s="5">
        <v>-0.13</v>
      </c>
      <c r="I15" s="5">
        <v>22.89</v>
      </c>
      <c r="J15" s="5">
        <v>15.87</v>
      </c>
      <c r="K15" s="5">
        <v>-3.06</v>
      </c>
      <c r="L15" s="5">
        <v>101.09</v>
      </c>
      <c r="M15" s="5">
        <v>88.3</v>
      </c>
      <c r="N15" s="5">
        <f t="shared" si="1"/>
        <v>0</v>
      </c>
      <c r="O15" s="17"/>
      <c r="P15" s="10"/>
      <c r="Q15" s="8">
        <v>48.89</v>
      </c>
      <c r="R15" s="4">
        <f t="shared" si="0"/>
        <v>43.034999999999997</v>
      </c>
    </row>
    <row r="16" spans="1:18" x14ac:dyDescent="0.25">
      <c r="A16" s="2" t="s">
        <v>14</v>
      </c>
      <c r="B16" s="5">
        <v>6.09</v>
      </c>
      <c r="C16" s="5">
        <v>112.83</v>
      </c>
      <c r="D16" s="5">
        <v>60.02</v>
      </c>
      <c r="E16" s="5">
        <v>40.07</v>
      </c>
      <c r="F16" s="5">
        <v>8.9499999999999993</v>
      </c>
      <c r="G16" s="5">
        <v>69.94</v>
      </c>
      <c r="H16" s="5">
        <v>-1.03</v>
      </c>
      <c r="I16" s="5">
        <v>22.98</v>
      </c>
      <c r="J16" s="5">
        <v>15.66</v>
      </c>
      <c r="K16" s="5">
        <v>-2.61</v>
      </c>
      <c r="L16" s="5">
        <v>106.27</v>
      </c>
      <c r="M16" s="5">
        <v>86.34</v>
      </c>
      <c r="N16" s="5">
        <f t="shared" si="1"/>
        <v>0</v>
      </c>
      <c r="O16" s="17"/>
      <c r="P16" s="11">
        <f>O12/$O$29</f>
        <v>0.92334075755127265</v>
      </c>
      <c r="Q16" s="8">
        <v>48.89</v>
      </c>
      <c r="R16" s="4">
        <f t="shared" si="0"/>
        <v>43.792499999999997</v>
      </c>
    </row>
    <row r="17" spans="1:18" x14ac:dyDescent="0.25">
      <c r="A17" s="3" t="s">
        <v>15</v>
      </c>
      <c r="B17" s="5">
        <v>19.100000000000001</v>
      </c>
      <c r="C17" s="5">
        <v>112.75</v>
      </c>
      <c r="D17" s="5">
        <v>91.65</v>
      </c>
      <c r="E17" s="5">
        <v>40.68</v>
      </c>
      <c r="F17" s="5">
        <v>11.92</v>
      </c>
      <c r="G17" s="5">
        <v>68</v>
      </c>
      <c r="H17" s="5">
        <v>-0.1</v>
      </c>
      <c r="I17" s="5">
        <v>23.16</v>
      </c>
      <c r="J17" s="5">
        <v>15.42</v>
      </c>
      <c r="K17" s="5">
        <v>-2.1</v>
      </c>
      <c r="L17" s="5">
        <v>121.21</v>
      </c>
      <c r="M17" s="5">
        <v>87.7</v>
      </c>
      <c r="N17" s="5">
        <f t="shared" si="1"/>
        <v>0</v>
      </c>
      <c r="O17" s="17"/>
      <c r="P17" s="10"/>
      <c r="Q17" s="8">
        <v>48.89</v>
      </c>
      <c r="R17" s="4">
        <f t="shared" si="0"/>
        <v>49.115833333333335</v>
      </c>
    </row>
    <row r="18" spans="1:18" x14ac:dyDescent="0.25">
      <c r="A18" s="2" t="s">
        <v>16</v>
      </c>
      <c r="B18" s="5">
        <v>27.43</v>
      </c>
      <c r="C18" s="5">
        <v>112.88</v>
      </c>
      <c r="D18" s="5">
        <v>101.05</v>
      </c>
      <c r="E18" s="5">
        <v>41.18</v>
      </c>
      <c r="F18" s="5">
        <v>39.97</v>
      </c>
      <c r="G18" s="5">
        <v>67.02</v>
      </c>
      <c r="H18" s="5">
        <v>1.77</v>
      </c>
      <c r="I18" s="5">
        <v>24.35</v>
      </c>
      <c r="J18" s="5">
        <v>16.100000000000001</v>
      </c>
      <c r="K18" s="5">
        <v>-1.1200000000000001</v>
      </c>
      <c r="L18" s="5">
        <v>122.96</v>
      </c>
      <c r="M18" s="5">
        <v>95.77</v>
      </c>
      <c r="N18" s="5">
        <f t="shared" si="1"/>
        <v>0</v>
      </c>
      <c r="O18" s="17"/>
      <c r="P18" s="10"/>
      <c r="Q18" s="8">
        <v>48.89</v>
      </c>
      <c r="R18" s="4">
        <f t="shared" si="0"/>
        <v>54.113333333333337</v>
      </c>
    </row>
    <row r="19" spans="1:18" x14ac:dyDescent="0.25">
      <c r="A19" s="3" t="s">
        <v>17</v>
      </c>
      <c r="B19" s="5">
        <v>30.9</v>
      </c>
      <c r="C19" s="5">
        <v>112.18</v>
      </c>
      <c r="D19" s="5">
        <v>108.07</v>
      </c>
      <c r="E19" s="5">
        <v>45.79</v>
      </c>
      <c r="F19" s="5">
        <v>73.55</v>
      </c>
      <c r="G19" s="5">
        <v>67.91</v>
      </c>
      <c r="H19" s="5">
        <v>20.9</v>
      </c>
      <c r="I19" s="5">
        <v>24.9</v>
      </c>
      <c r="J19" s="5">
        <v>16.79</v>
      </c>
      <c r="K19" s="5">
        <v>-0.03</v>
      </c>
      <c r="L19" s="5">
        <v>127.84</v>
      </c>
      <c r="M19" s="5">
        <v>92.65</v>
      </c>
      <c r="N19" s="5">
        <f t="shared" si="1"/>
        <v>0.60560000000000003</v>
      </c>
      <c r="O19" s="21">
        <v>60.56</v>
      </c>
      <c r="P19" s="12"/>
      <c r="Q19" s="8">
        <v>60.56</v>
      </c>
      <c r="R19" s="4">
        <f t="shared" si="0"/>
        <v>60.12083333333333</v>
      </c>
    </row>
    <row r="20" spans="1:18" x14ac:dyDescent="0.25">
      <c r="A20" s="2" t="s">
        <v>18</v>
      </c>
      <c r="B20" s="5">
        <v>27.61</v>
      </c>
      <c r="C20" s="5">
        <v>108.92</v>
      </c>
      <c r="D20" s="5">
        <v>111.23</v>
      </c>
      <c r="E20" s="5">
        <v>51.78</v>
      </c>
      <c r="F20" s="5">
        <v>80.3</v>
      </c>
      <c r="G20" s="5">
        <v>69.91</v>
      </c>
      <c r="H20" s="5">
        <v>35.51</v>
      </c>
      <c r="I20" s="5">
        <v>23.98</v>
      </c>
      <c r="J20" s="5">
        <v>15.55</v>
      </c>
      <c r="K20" s="5">
        <v>0</v>
      </c>
      <c r="L20" s="5">
        <v>129.9</v>
      </c>
      <c r="M20" s="5">
        <v>84.91</v>
      </c>
      <c r="N20" s="5">
        <f t="shared" si="1"/>
        <v>0</v>
      </c>
      <c r="O20" s="21"/>
      <c r="P20" s="11">
        <f>O19/$O$29</f>
        <v>1.1437413842770521</v>
      </c>
      <c r="Q20" s="8">
        <v>60.56</v>
      </c>
      <c r="R20" s="4">
        <f t="shared" si="0"/>
        <v>61.633333333333326</v>
      </c>
    </row>
    <row r="21" spans="1:18" x14ac:dyDescent="0.25">
      <c r="A21" s="3" t="s">
        <v>19</v>
      </c>
      <c r="B21" s="5">
        <v>25.9</v>
      </c>
      <c r="C21" s="5">
        <v>104.96</v>
      </c>
      <c r="D21" s="5">
        <v>109.53</v>
      </c>
      <c r="E21" s="5">
        <v>54.53</v>
      </c>
      <c r="F21" s="5">
        <v>82.8</v>
      </c>
      <c r="G21" s="5">
        <v>68.69</v>
      </c>
      <c r="H21" s="5">
        <v>35.79</v>
      </c>
      <c r="I21" s="5">
        <v>22.87</v>
      </c>
      <c r="J21" s="5">
        <v>13.33</v>
      </c>
      <c r="K21" s="5">
        <v>-0.01</v>
      </c>
      <c r="L21" s="5">
        <v>121.08</v>
      </c>
      <c r="M21" s="5">
        <v>79.599999999999994</v>
      </c>
      <c r="N21" s="5">
        <f t="shared" si="1"/>
        <v>0</v>
      </c>
      <c r="O21" s="21"/>
      <c r="P21" s="12"/>
      <c r="Q21" s="8">
        <v>60.56</v>
      </c>
      <c r="R21" s="4">
        <f t="shared" si="0"/>
        <v>59.922500000000007</v>
      </c>
    </row>
    <row r="22" spans="1:18" x14ac:dyDescent="0.25">
      <c r="A22" s="2" t="s">
        <v>20</v>
      </c>
      <c r="B22" s="5">
        <v>12.47</v>
      </c>
      <c r="C22" s="5">
        <v>73.739999999999995</v>
      </c>
      <c r="D22" s="5">
        <v>105.26</v>
      </c>
      <c r="E22" s="5">
        <v>52.31</v>
      </c>
      <c r="F22" s="5">
        <v>83.71</v>
      </c>
      <c r="G22" s="5">
        <v>63.62</v>
      </c>
      <c r="H22" s="5">
        <v>33.51</v>
      </c>
      <c r="I22" s="5">
        <v>24.35</v>
      </c>
      <c r="J22" s="5">
        <v>12.17</v>
      </c>
      <c r="K22" s="5">
        <v>-0.46</v>
      </c>
      <c r="L22" s="5">
        <v>109.9</v>
      </c>
      <c r="M22" s="5">
        <v>77.010000000000005</v>
      </c>
      <c r="N22" s="5">
        <f t="shared" si="1"/>
        <v>0.52910000000000001</v>
      </c>
      <c r="O22" s="17">
        <v>52.91</v>
      </c>
      <c r="P22" s="10"/>
      <c r="Q22" s="8">
        <v>52.91</v>
      </c>
      <c r="R22" s="4">
        <f t="shared" si="0"/>
        <v>53.965833333333336</v>
      </c>
    </row>
    <row r="23" spans="1:18" x14ac:dyDescent="0.25">
      <c r="A23" s="3" t="s">
        <v>21</v>
      </c>
      <c r="B23" s="5">
        <v>20.79</v>
      </c>
      <c r="C23" s="5">
        <v>66.17</v>
      </c>
      <c r="D23" s="5">
        <v>105.06</v>
      </c>
      <c r="E23" s="5">
        <v>50.01</v>
      </c>
      <c r="F23" s="5">
        <v>82.63</v>
      </c>
      <c r="G23" s="5">
        <v>60.47</v>
      </c>
      <c r="H23" s="5">
        <v>30.67</v>
      </c>
      <c r="I23" s="5">
        <v>23.17</v>
      </c>
      <c r="J23" s="5">
        <v>11.16</v>
      </c>
      <c r="K23" s="5">
        <v>-1.1000000000000001</v>
      </c>
      <c r="L23" s="5">
        <v>97.5</v>
      </c>
      <c r="M23" s="5">
        <v>75.7</v>
      </c>
      <c r="N23" s="5">
        <f t="shared" si="1"/>
        <v>0</v>
      </c>
      <c r="O23" s="17"/>
      <c r="P23" s="11">
        <f>O22/$O$29</f>
        <v>0.99926282434112967</v>
      </c>
      <c r="Q23" s="8">
        <v>52.91</v>
      </c>
      <c r="R23" s="4">
        <f t="shared" si="0"/>
        <v>51.852499999999999</v>
      </c>
    </row>
    <row r="24" spans="1:18" x14ac:dyDescent="0.25">
      <c r="A24" s="2" t="s">
        <v>22</v>
      </c>
      <c r="B24" s="5">
        <v>31.04</v>
      </c>
      <c r="C24" s="5">
        <v>58.34</v>
      </c>
      <c r="D24" s="5">
        <v>81.67</v>
      </c>
      <c r="E24" s="5">
        <v>46.89</v>
      </c>
      <c r="F24" s="5">
        <v>17.87</v>
      </c>
      <c r="G24" s="5">
        <v>56.84</v>
      </c>
      <c r="H24" s="5">
        <v>20.75</v>
      </c>
      <c r="I24" s="5">
        <v>18.989999999999998</v>
      </c>
      <c r="J24" s="5">
        <v>8.93</v>
      </c>
      <c r="K24" s="5">
        <v>-1.26</v>
      </c>
      <c r="L24" s="5">
        <v>91.66</v>
      </c>
      <c r="M24" s="5">
        <v>60.8</v>
      </c>
      <c r="N24" s="5">
        <f t="shared" si="1"/>
        <v>0.37219999999999998</v>
      </c>
      <c r="O24" s="18">
        <v>37.22</v>
      </c>
      <c r="P24" s="13"/>
      <c r="Q24" s="8">
        <v>36.549999999999997</v>
      </c>
      <c r="R24" s="4">
        <f t="shared" si="0"/>
        <v>41.043333333333337</v>
      </c>
    </row>
    <row r="25" spans="1:18" x14ac:dyDescent="0.25">
      <c r="A25" s="3" t="s">
        <v>23</v>
      </c>
      <c r="B25" s="5">
        <v>32.380000000000003</v>
      </c>
      <c r="C25" s="5">
        <v>49.59</v>
      </c>
      <c r="D25" s="5">
        <v>72.91</v>
      </c>
      <c r="E25" s="5">
        <v>43.66</v>
      </c>
      <c r="F25" s="5">
        <v>7.24</v>
      </c>
      <c r="G25" s="5">
        <v>51.48</v>
      </c>
      <c r="H25" s="5">
        <v>16.22</v>
      </c>
      <c r="I25" s="5">
        <v>17.559999999999999</v>
      </c>
      <c r="J25" s="5">
        <v>6.02</v>
      </c>
      <c r="K25" s="5">
        <v>-2.0699999999999998</v>
      </c>
      <c r="L25" s="5">
        <v>84.21</v>
      </c>
      <c r="M25" s="5">
        <v>69.47</v>
      </c>
      <c r="N25" s="5">
        <f t="shared" si="1"/>
        <v>0</v>
      </c>
      <c r="O25" s="18"/>
      <c r="P25" s="11">
        <f>O24/$O$29</f>
        <v>0.70294013082549323</v>
      </c>
      <c r="Q25" s="8">
        <v>36.549999999999997</v>
      </c>
      <c r="R25" s="4">
        <f t="shared" si="0"/>
        <v>37.389166666666661</v>
      </c>
    </row>
    <row r="28" spans="1:18" x14ac:dyDescent="0.25">
      <c r="I28" t="s">
        <v>37</v>
      </c>
    </row>
    <row r="29" spans="1:18" x14ac:dyDescent="0.25">
      <c r="I29" t="s">
        <v>39</v>
      </c>
      <c r="O29" s="5">
        <f>AVERAGE(O2:O25)</f>
        <v>52.949032738095248</v>
      </c>
      <c r="P29" s="5"/>
    </row>
    <row r="31" spans="1:18" x14ac:dyDescent="0.25">
      <c r="A31" s="1" t="s">
        <v>40</v>
      </c>
      <c r="B31" t="s">
        <v>41</v>
      </c>
      <c r="O31" t="s">
        <v>50</v>
      </c>
    </row>
    <row r="36" spans="1:12" x14ac:dyDescent="0.25">
      <c r="A36" s="1" t="s">
        <v>52</v>
      </c>
      <c r="B36" t="s">
        <v>26</v>
      </c>
      <c r="C36" t="s">
        <v>27</v>
      </c>
      <c r="D36" t="s">
        <v>28</v>
      </c>
    </row>
    <row r="37" spans="1:12" x14ac:dyDescent="0.25">
      <c r="A37" s="1" t="s">
        <v>42</v>
      </c>
      <c r="B37" t="s">
        <v>29</v>
      </c>
      <c r="C37" t="s">
        <v>30</v>
      </c>
      <c r="D37" t="s">
        <v>31</v>
      </c>
    </row>
    <row r="38" spans="1:12" x14ac:dyDescent="0.25">
      <c r="A38" s="1" t="s">
        <v>51</v>
      </c>
      <c r="B38" t="s">
        <v>32</v>
      </c>
      <c r="C38" t="s">
        <v>33</v>
      </c>
      <c r="D38" t="s">
        <v>34</v>
      </c>
    </row>
    <row r="39" spans="1:12" x14ac:dyDescent="0.25">
      <c r="A39" s="1" t="s">
        <v>43</v>
      </c>
      <c r="B39" t="s">
        <v>35</v>
      </c>
      <c r="C39" t="s">
        <v>24</v>
      </c>
      <c r="D39" t="s">
        <v>25</v>
      </c>
      <c r="H39" s="1" t="s">
        <v>48</v>
      </c>
      <c r="I39" s="1" t="s">
        <v>52</v>
      </c>
      <c r="J39" s="1" t="s">
        <v>42</v>
      </c>
      <c r="K39" s="1" t="s">
        <v>51</v>
      </c>
      <c r="L39" s="1" t="s">
        <v>43</v>
      </c>
    </row>
    <row r="40" spans="1:12" x14ac:dyDescent="0.25">
      <c r="H40">
        <v>0</v>
      </c>
      <c r="I40">
        <v>0.5</v>
      </c>
      <c r="J40">
        <v>0.8</v>
      </c>
      <c r="K40" s="16">
        <v>0.6</v>
      </c>
      <c r="L40" s="16">
        <v>0.8</v>
      </c>
    </row>
    <row r="41" spans="1:12" x14ac:dyDescent="0.25">
      <c r="H41">
        <v>1</v>
      </c>
      <c r="I41">
        <v>0.5</v>
      </c>
      <c r="J41">
        <v>0.8</v>
      </c>
      <c r="K41" s="16">
        <v>0.6</v>
      </c>
      <c r="L41" s="16">
        <v>0.8</v>
      </c>
    </row>
    <row r="42" spans="1:12" x14ac:dyDescent="0.25">
      <c r="H42">
        <v>2</v>
      </c>
      <c r="I42">
        <v>0.5</v>
      </c>
      <c r="J42">
        <v>0.8</v>
      </c>
      <c r="K42" s="16">
        <v>0.6</v>
      </c>
      <c r="L42" s="16">
        <v>0.8</v>
      </c>
    </row>
    <row r="43" spans="1:12" x14ac:dyDescent="0.25">
      <c r="H43">
        <v>3</v>
      </c>
      <c r="I43">
        <v>0.5</v>
      </c>
      <c r="J43">
        <v>0.8</v>
      </c>
      <c r="K43" s="16">
        <v>0.6</v>
      </c>
      <c r="L43" s="16">
        <v>0.8</v>
      </c>
    </row>
    <row r="44" spans="1:12" x14ac:dyDescent="0.25">
      <c r="H44">
        <v>4</v>
      </c>
      <c r="I44">
        <v>0.5</v>
      </c>
      <c r="J44">
        <v>0.8</v>
      </c>
      <c r="K44" s="16">
        <v>0.6</v>
      </c>
      <c r="L44" s="16">
        <v>0.8</v>
      </c>
    </row>
    <row r="45" spans="1:12" x14ac:dyDescent="0.25">
      <c r="H45">
        <v>5</v>
      </c>
      <c r="I45">
        <v>0.5</v>
      </c>
      <c r="J45">
        <v>1</v>
      </c>
      <c r="K45" s="16">
        <v>0.6</v>
      </c>
      <c r="L45" s="16">
        <v>0.8</v>
      </c>
    </row>
    <row r="46" spans="1:12" x14ac:dyDescent="0.25">
      <c r="H46">
        <v>6</v>
      </c>
      <c r="I46">
        <v>1</v>
      </c>
      <c r="J46">
        <v>1</v>
      </c>
      <c r="K46" s="9">
        <v>1</v>
      </c>
      <c r="L46" s="9">
        <v>1</v>
      </c>
    </row>
    <row r="47" spans="1:12" x14ac:dyDescent="0.25">
      <c r="H47">
        <v>7</v>
      </c>
      <c r="I47">
        <v>1.5</v>
      </c>
      <c r="J47">
        <v>1</v>
      </c>
      <c r="K47" s="9">
        <v>1</v>
      </c>
      <c r="L47" s="9">
        <v>1</v>
      </c>
    </row>
    <row r="48" spans="1:12" x14ac:dyDescent="0.25">
      <c r="H48">
        <v>8</v>
      </c>
      <c r="I48">
        <v>1.6</v>
      </c>
      <c r="J48">
        <v>1.1499999999999999</v>
      </c>
      <c r="K48" s="9">
        <v>1.6</v>
      </c>
      <c r="L48" s="9">
        <v>1.4</v>
      </c>
    </row>
    <row r="49" spans="8:12" x14ac:dyDescent="0.25">
      <c r="H49">
        <v>9</v>
      </c>
      <c r="I49">
        <v>1.6</v>
      </c>
      <c r="J49">
        <v>1.1499999999999999</v>
      </c>
      <c r="K49" s="9">
        <v>1.6</v>
      </c>
      <c r="L49" s="9">
        <v>1.4</v>
      </c>
    </row>
    <row r="50" spans="8:12" x14ac:dyDescent="0.25">
      <c r="H50">
        <v>10</v>
      </c>
      <c r="I50">
        <v>1</v>
      </c>
      <c r="J50">
        <v>0.9</v>
      </c>
      <c r="K50" s="9">
        <v>1.6</v>
      </c>
      <c r="L50" s="9">
        <v>1.4</v>
      </c>
    </row>
    <row r="51" spans="8:12" x14ac:dyDescent="0.25">
      <c r="H51">
        <v>11</v>
      </c>
      <c r="I51">
        <v>1</v>
      </c>
      <c r="J51">
        <v>0.9</v>
      </c>
      <c r="K51" s="9">
        <v>0.9</v>
      </c>
      <c r="L51" s="9">
        <v>1.4</v>
      </c>
    </row>
    <row r="52" spans="8:12" x14ac:dyDescent="0.25">
      <c r="H52">
        <v>12</v>
      </c>
      <c r="I52">
        <v>0.7</v>
      </c>
      <c r="J52">
        <v>0.9</v>
      </c>
      <c r="K52" s="10">
        <v>0.9</v>
      </c>
      <c r="L52" s="10">
        <v>1</v>
      </c>
    </row>
    <row r="53" spans="8:12" x14ac:dyDescent="0.25">
      <c r="H53">
        <v>13</v>
      </c>
      <c r="I53">
        <v>0.7</v>
      </c>
      <c r="J53">
        <v>0.9</v>
      </c>
      <c r="K53" s="10">
        <v>0.9</v>
      </c>
      <c r="L53" s="10">
        <v>1</v>
      </c>
    </row>
    <row r="54" spans="8:12" x14ac:dyDescent="0.25">
      <c r="H54">
        <v>14</v>
      </c>
      <c r="I54">
        <v>0.7</v>
      </c>
      <c r="J54">
        <v>0.9</v>
      </c>
      <c r="K54" s="10">
        <v>0.9</v>
      </c>
      <c r="L54" s="10">
        <v>1</v>
      </c>
    </row>
    <row r="55" spans="8:12" x14ac:dyDescent="0.25">
      <c r="H55">
        <v>15</v>
      </c>
      <c r="I55">
        <v>0.7</v>
      </c>
      <c r="J55">
        <v>0.9</v>
      </c>
      <c r="K55" s="10">
        <v>1</v>
      </c>
      <c r="L55" s="10">
        <v>1</v>
      </c>
    </row>
    <row r="56" spans="8:12" x14ac:dyDescent="0.25">
      <c r="H56">
        <v>16</v>
      </c>
      <c r="I56">
        <v>1</v>
      </c>
      <c r="J56">
        <v>0.9</v>
      </c>
      <c r="K56" s="10">
        <v>1</v>
      </c>
      <c r="L56" s="10">
        <v>1.2</v>
      </c>
    </row>
    <row r="57" spans="8:12" x14ac:dyDescent="0.25">
      <c r="H57">
        <v>17</v>
      </c>
      <c r="I57">
        <v>1.4</v>
      </c>
      <c r="J57">
        <v>1.2</v>
      </c>
      <c r="K57" s="10">
        <v>1</v>
      </c>
      <c r="L57" s="10">
        <v>1.2</v>
      </c>
    </row>
    <row r="58" spans="8:12" x14ac:dyDescent="0.25">
      <c r="H58">
        <v>18</v>
      </c>
      <c r="I58">
        <v>1.4</v>
      </c>
      <c r="J58">
        <v>1.2</v>
      </c>
      <c r="K58" s="10">
        <v>1</v>
      </c>
      <c r="L58" s="10">
        <v>1.2</v>
      </c>
    </row>
    <row r="59" spans="8:12" x14ac:dyDescent="0.25">
      <c r="H59">
        <v>19</v>
      </c>
      <c r="I59">
        <v>1.4</v>
      </c>
      <c r="J59">
        <v>1.2</v>
      </c>
      <c r="K59" s="10">
        <v>1</v>
      </c>
      <c r="L59" s="10">
        <v>1.2</v>
      </c>
    </row>
    <row r="60" spans="8:12" x14ac:dyDescent="0.25">
      <c r="H60">
        <v>20</v>
      </c>
      <c r="I60">
        <v>1.4</v>
      </c>
      <c r="J60">
        <v>1</v>
      </c>
      <c r="K60" s="16">
        <v>1</v>
      </c>
      <c r="L60" s="16">
        <v>0.8</v>
      </c>
    </row>
    <row r="61" spans="8:12" x14ac:dyDescent="0.25">
      <c r="H61">
        <v>21</v>
      </c>
      <c r="I61">
        <v>1.4</v>
      </c>
      <c r="J61">
        <v>1</v>
      </c>
      <c r="K61" s="16">
        <v>0.8</v>
      </c>
      <c r="L61" s="16">
        <v>0.8</v>
      </c>
    </row>
    <row r="62" spans="8:12" x14ac:dyDescent="0.25">
      <c r="H62">
        <v>22</v>
      </c>
      <c r="I62">
        <v>0.8</v>
      </c>
      <c r="J62">
        <v>0.8</v>
      </c>
      <c r="K62" s="16">
        <v>0.8</v>
      </c>
      <c r="L62" s="16">
        <v>0.8</v>
      </c>
    </row>
    <row r="63" spans="8:12" x14ac:dyDescent="0.25">
      <c r="H63">
        <v>23</v>
      </c>
      <c r="I63">
        <v>0.8</v>
      </c>
      <c r="J63">
        <v>0.8</v>
      </c>
      <c r="K63" s="16">
        <v>0.8</v>
      </c>
      <c r="L63" s="16">
        <v>0.8</v>
      </c>
    </row>
  </sheetData>
  <mergeCells count="7">
    <mergeCell ref="O22:O23"/>
    <mergeCell ref="O24:O25"/>
    <mergeCell ref="O2:O7"/>
    <mergeCell ref="O8:O9"/>
    <mergeCell ref="O10:O11"/>
    <mergeCell ref="O12:O18"/>
    <mergeCell ref="O19:O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1DAD-1C6C-49F7-9BB6-03ADC5590951}">
  <dimension ref="A1:W32"/>
  <sheetViews>
    <sheetView topLeftCell="N1" zoomScale="130" zoomScaleNormal="130" workbookViewId="0">
      <selection activeCell="AI13" sqref="AI13"/>
    </sheetView>
  </sheetViews>
  <sheetFormatPr defaultRowHeight="15" x14ac:dyDescent="0.25"/>
  <cols>
    <col min="2" max="3" width="8.85546875" hidden="1" customWidth="1"/>
    <col min="4" max="6" width="8.85546875" customWidth="1"/>
    <col min="7" max="13" width="0" hidden="1" customWidth="1"/>
    <col min="18" max="18" width="9.5703125" hidden="1" customWidth="1"/>
    <col min="22" max="22" width="5" bestFit="1" customWidth="1"/>
  </cols>
  <sheetData>
    <row r="1" spans="1:23" x14ac:dyDescent="0.25">
      <c r="A1" s="1" t="s">
        <v>48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O1" s="1"/>
      <c r="P1" s="1" t="s">
        <v>38</v>
      </c>
      <c r="Q1" s="1"/>
      <c r="R1" s="1" t="s">
        <v>36</v>
      </c>
      <c r="S1" s="1" t="s">
        <v>36</v>
      </c>
      <c r="T1" s="1"/>
      <c r="V1" t="s">
        <v>48</v>
      </c>
      <c r="W1" t="s">
        <v>52</v>
      </c>
    </row>
    <row r="2" spans="1:23" x14ac:dyDescent="0.25">
      <c r="A2" s="6">
        <v>0</v>
      </c>
      <c r="B2" s="5">
        <v>27.4</v>
      </c>
      <c r="C2" s="5">
        <v>72.17</v>
      </c>
      <c r="D2" s="5">
        <v>59.83</v>
      </c>
      <c r="E2" s="5">
        <v>28.21</v>
      </c>
      <c r="F2" s="5">
        <v>4.6500000000000004</v>
      </c>
      <c r="G2" s="5">
        <v>52.65</v>
      </c>
      <c r="H2" s="5">
        <v>37.340000000000003</v>
      </c>
      <c r="I2" s="5">
        <v>17.04</v>
      </c>
      <c r="J2" s="5">
        <v>14.49</v>
      </c>
      <c r="K2" s="5">
        <v>-4.37</v>
      </c>
      <c r="L2" s="5">
        <v>81.099999999999994</v>
      </c>
      <c r="M2" s="5">
        <v>86.13</v>
      </c>
      <c r="N2" s="5"/>
      <c r="O2" s="23">
        <f>AVERAGE(S2:S7)</f>
        <v>31.068888888888882</v>
      </c>
      <c r="P2" s="16"/>
      <c r="Q2" s="16">
        <v>0.5</v>
      </c>
      <c r="R2" s="14">
        <v>35.676666666666669</v>
      </c>
      <c r="S2" s="4">
        <f>AVERAGE(D2:F2)</f>
        <v>30.896666666666665</v>
      </c>
      <c r="V2">
        <v>0</v>
      </c>
      <c r="W2">
        <v>0.5</v>
      </c>
    </row>
    <row r="3" spans="1:23" x14ac:dyDescent="0.25">
      <c r="A3" s="7">
        <v>1</v>
      </c>
      <c r="B3" s="5">
        <v>27.23</v>
      </c>
      <c r="C3" s="5">
        <v>69.290000000000006</v>
      </c>
      <c r="D3" s="5">
        <v>56.95</v>
      </c>
      <c r="E3" s="5">
        <v>28.15</v>
      </c>
      <c r="F3" s="5">
        <v>4.63</v>
      </c>
      <c r="G3" s="5">
        <v>48.47</v>
      </c>
      <c r="H3" s="5">
        <v>36.57</v>
      </c>
      <c r="I3" s="5">
        <v>16</v>
      </c>
      <c r="J3" s="5">
        <v>13.91</v>
      </c>
      <c r="K3" s="5">
        <v>-4.4000000000000004</v>
      </c>
      <c r="L3" s="5">
        <v>76.42</v>
      </c>
      <c r="M3" s="5">
        <v>82.93</v>
      </c>
      <c r="N3" s="5"/>
      <c r="O3" s="23"/>
      <c r="P3" s="16"/>
      <c r="Q3" s="16">
        <v>0.5</v>
      </c>
      <c r="R3" s="14">
        <v>33.68</v>
      </c>
      <c r="S3" s="4">
        <f t="shared" ref="S3:S25" si="0">AVERAGE(D3:F3)</f>
        <v>29.909999999999997</v>
      </c>
      <c r="V3">
        <v>1</v>
      </c>
      <c r="W3">
        <v>0.5</v>
      </c>
    </row>
    <row r="4" spans="1:23" x14ac:dyDescent="0.25">
      <c r="A4" s="6">
        <v>2</v>
      </c>
      <c r="B4" s="5">
        <v>24.28</v>
      </c>
      <c r="C4" s="5">
        <v>66.94</v>
      </c>
      <c r="D4" s="5">
        <v>56.94</v>
      </c>
      <c r="E4" s="5">
        <v>28.59</v>
      </c>
      <c r="F4" s="5">
        <v>4.8</v>
      </c>
      <c r="G4" s="5">
        <v>48.34</v>
      </c>
      <c r="H4" s="5">
        <v>29.15</v>
      </c>
      <c r="I4" s="5">
        <v>14.89</v>
      </c>
      <c r="J4" s="5">
        <v>13.19</v>
      </c>
      <c r="K4" s="5">
        <v>-4.43</v>
      </c>
      <c r="L4" s="5">
        <v>72.900000000000006</v>
      </c>
      <c r="M4" s="5">
        <v>80.099999999999994</v>
      </c>
      <c r="N4" s="5"/>
      <c r="O4" s="23"/>
      <c r="P4" s="16">
        <f>O2/$O$29</f>
        <v>0.54468022109493863</v>
      </c>
      <c r="Q4" s="16">
        <v>0.5</v>
      </c>
      <c r="R4" s="14">
        <v>30.793333333333337</v>
      </c>
      <c r="S4" s="4">
        <f t="shared" si="0"/>
        <v>30.11</v>
      </c>
      <c r="V4">
        <v>2</v>
      </c>
      <c r="W4">
        <v>0.5</v>
      </c>
    </row>
    <row r="5" spans="1:23" x14ac:dyDescent="0.25">
      <c r="A5" s="7">
        <v>3</v>
      </c>
      <c r="B5" s="5">
        <v>13</v>
      </c>
      <c r="C5" s="5">
        <v>67.78</v>
      </c>
      <c r="D5" s="5">
        <v>56.97</v>
      </c>
      <c r="E5" s="5">
        <v>29.92</v>
      </c>
      <c r="F5" s="5">
        <v>5.0999999999999996</v>
      </c>
      <c r="G5" s="5">
        <v>50.26</v>
      </c>
      <c r="H5" s="5">
        <v>19.95</v>
      </c>
      <c r="I5" s="5">
        <v>15.18</v>
      </c>
      <c r="J5" s="5">
        <v>12.47</v>
      </c>
      <c r="K5" s="5">
        <v>-4.3499999999999996</v>
      </c>
      <c r="L5" s="5">
        <v>70.69</v>
      </c>
      <c r="M5" s="5">
        <v>76.55</v>
      </c>
      <c r="N5" s="5"/>
      <c r="O5" s="23"/>
      <c r="P5" s="16"/>
      <c r="Q5" s="16">
        <v>0.5</v>
      </c>
      <c r="R5" s="14">
        <v>28.463333333333328</v>
      </c>
      <c r="S5" s="4">
        <f t="shared" si="0"/>
        <v>30.66333333333333</v>
      </c>
      <c r="V5">
        <v>3</v>
      </c>
      <c r="W5">
        <v>0.5</v>
      </c>
    </row>
    <row r="6" spans="1:23" x14ac:dyDescent="0.25">
      <c r="A6" s="6">
        <v>4</v>
      </c>
      <c r="B6" s="5">
        <v>7.98</v>
      </c>
      <c r="C6" s="5">
        <v>72.17</v>
      </c>
      <c r="D6" s="5">
        <v>54.97</v>
      </c>
      <c r="E6" s="5">
        <v>32.32</v>
      </c>
      <c r="F6" s="5">
        <v>5.28</v>
      </c>
      <c r="G6" s="5">
        <v>51.87</v>
      </c>
      <c r="H6" s="5">
        <v>16.98</v>
      </c>
      <c r="I6" s="5">
        <v>15.31</v>
      </c>
      <c r="J6" s="5">
        <v>12.5</v>
      </c>
      <c r="K6" s="5">
        <v>-4.33</v>
      </c>
      <c r="L6" s="5">
        <v>74.45</v>
      </c>
      <c r="M6" s="5">
        <v>75.16</v>
      </c>
      <c r="N6" s="5"/>
      <c r="O6" s="23"/>
      <c r="P6" s="16"/>
      <c r="Q6" s="16">
        <v>0.5</v>
      </c>
      <c r="R6" s="14">
        <v>28.053333333333331</v>
      </c>
      <c r="S6" s="4">
        <f t="shared" si="0"/>
        <v>30.856666666666666</v>
      </c>
      <c r="V6">
        <v>4</v>
      </c>
      <c r="W6">
        <v>0.5</v>
      </c>
    </row>
    <row r="7" spans="1:23" x14ac:dyDescent="0.25">
      <c r="A7" s="7">
        <v>5</v>
      </c>
      <c r="B7" s="5">
        <v>4.8499999999999996</v>
      </c>
      <c r="C7" s="5">
        <v>69.290000000000006</v>
      </c>
      <c r="D7" s="5">
        <v>57.23</v>
      </c>
      <c r="E7" s="5">
        <v>38.01</v>
      </c>
      <c r="F7" s="5">
        <v>6.69</v>
      </c>
      <c r="G7" s="5">
        <v>58.5</v>
      </c>
      <c r="H7" s="5">
        <v>13.69</v>
      </c>
      <c r="I7" s="5">
        <v>17.350000000000001</v>
      </c>
      <c r="J7" s="5">
        <v>12.49</v>
      </c>
      <c r="K7" s="5">
        <v>-3.97</v>
      </c>
      <c r="L7" s="5">
        <v>80.680000000000007</v>
      </c>
      <c r="M7" s="5">
        <v>80.41</v>
      </c>
      <c r="N7" s="5"/>
      <c r="O7" s="23"/>
      <c r="Q7" s="16">
        <v>0.5</v>
      </c>
      <c r="R7" s="14">
        <v>29.846666666666664</v>
      </c>
      <c r="S7" s="4">
        <f t="shared" si="0"/>
        <v>33.976666666666667</v>
      </c>
      <c r="V7">
        <v>5</v>
      </c>
      <c r="W7">
        <v>0.5</v>
      </c>
    </row>
    <row r="8" spans="1:23" x14ac:dyDescent="0.25">
      <c r="A8" s="2">
        <v>6</v>
      </c>
      <c r="B8" s="5">
        <v>6.05</v>
      </c>
      <c r="C8" s="5">
        <v>109.05</v>
      </c>
      <c r="D8" s="5">
        <v>112.86</v>
      </c>
      <c r="E8" s="5">
        <v>39.11</v>
      </c>
      <c r="F8" s="5">
        <v>14.51</v>
      </c>
      <c r="G8" s="5">
        <v>60.69</v>
      </c>
      <c r="H8" s="5">
        <v>19.899999999999999</v>
      </c>
      <c r="I8" s="5">
        <v>19.170000000000002</v>
      </c>
      <c r="J8" s="5">
        <v>13.93</v>
      </c>
      <c r="K8" s="5">
        <v>-3.32</v>
      </c>
      <c r="L8" s="5">
        <v>98.69</v>
      </c>
      <c r="M8" s="5">
        <v>95.97</v>
      </c>
      <c r="N8" s="5"/>
      <c r="O8" s="9">
        <f>S8</f>
        <v>55.493333333333332</v>
      </c>
      <c r="P8" s="16">
        <f>O8/$O$29</f>
        <v>0.97287422081273234</v>
      </c>
      <c r="Q8" s="9">
        <v>1</v>
      </c>
      <c r="R8" s="14">
        <v>33.253333333333337</v>
      </c>
      <c r="S8" s="4">
        <f t="shared" si="0"/>
        <v>55.493333333333332</v>
      </c>
      <c r="V8">
        <v>6</v>
      </c>
      <c r="W8">
        <v>1</v>
      </c>
    </row>
    <row r="9" spans="1:23" x14ac:dyDescent="0.25">
      <c r="A9" s="3">
        <v>7</v>
      </c>
      <c r="B9" s="5">
        <v>10.09</v>
      </c>
      <c r="C9" s="5">
        <v>112.97</v>
      </c>
      <c r="D9" s="5">
        <v>136.33000000000001</v>
      </c>
      <c r="E9" s="5">
        <v>41.17</v>
      </c>
      <c r="F9" s="5">
        <v>92.26</v>
      </c>
      <c r="G9" s="5">
        <v>67.459999999999994</v>
      </c>
      <c r="H9" s="5">
        <v>22.6</v>
      </c>
      <c r="I9" s="5">
        <v>22.86</v>
      </c>
      <c r="J9" s="5">
        <v>28.97</v>
      </c>
      <c r="K9" s="5">
        <v>-3.01</v>
      </c>
      <c r="L9" s="5">
        <v>122.19</v>
      </c>
      <c r="M9" s="5">
        <v>106.95</v>
      </c>
      <c r="N9" s="5"/>
      <c r="O9" s="22">
        <f>AVERAGE(S9:S11)</f>
        <v>90.177777777777791</v>
      </c>
      <c r="Q9" s="9">
        <v>1.5</v>
      </c>
      <c r="R9" s="14">
        <v>37.64</v>
      </c>
      <c r="S9" s="4">
        <f t="shared" si="0"/>
        <v>89.92</v>
      </c>
      <c r="V9">
        <v>7</v>
      </c>
      <c r="W9">
        <v>1.5</v>
      </c>
    </row>
    <row r="10" spans="1:23" x14ac:dyDescent="0.25">
      <c r="A10" s="2">
        <v>8</v>
      </c>
      <c r="B10" s="5">
        <v>14.03</v>
      </c>
      <c r="C10" s="5">
        <v>182.72</v>
      </c>
      <c r="D10" s="5">
        <v>148.68</v>
      </c>
      <c r="E10" s="5">
        <v>50.05</v>
      </c>
      <c r="F10" s="5">
        <v>94.13</v>
      </c>
      <c r="G10" s="5">
        <v>72.260000000000005</v>
      </c>
      <c r="H10" s="5">
        <v>29.87</v>
      </c>
      <c r="I10" s="5">
        <v>26.26</v>
      </c>
      <c r="J10" s="5">
        <v>125.07</v>
      </c>
      <c r="K10" s="5">
        <v>-2.61</v>
      </c>
      <c r="L10" s="5">
        <v>128.59</v>
      </c>
      <c r="M10" s="5">
        <v>121.5</v>
      </c>
      <c r="N10" s="5"/>
      <c r="O10" s="22"/>
      <c r="P10" s="10"/>
      <c r="Q10" s="9">
        <v>1.6</v>
      </c>
      <c r="R10" s="14">
        <v>42.796666666666674</v>
      </c>
      <c r="S10" s="4">
        <f t="shared" si="0"/>
        <v>97.62</v>
      </c>
      <c r="V10">
        <v>8</v>
      </c>
      <c r="W10">
        <v>1.6</v>
      </c>
    </row>
    <row r="11" spans="1:23" x14ac:dyDescent="0.25">
      <c r="A11" s="3">
        <v>9</v>
      </c>
      <c r="B11" s="5">
        <v>19.07</v>
      </c>
      <c r="C11" s="5">
        <v>150.97999999999999</v>
      </c>
      <c r="D11" s="5">
        <v>111.63</v>
      </c>
      <c r="E11" s="5">
        <v>50.02</v>
      </c>
      <c r="F11" s="5">
        <v>87.33</v>
      </c>
      <c r="G11" s="5">
        <v>69.900000000000006</v>
      </c>
      <c r="H11" s="5">
        <v>17.41</v>
      </c>
      <c r="I11" s="5">
        <v>27.94</v>
      </c>
      <c r="J11" s="5">
        <v>104.38</v>
      </c>
      <c r="K11" s="5">
        <v>-3.03</v>
      </c>
      <c r="L11" s="5">
        <v>121.29</v>
      </c>
      <c r="M11" s="5">
        <v>117.44</v>
      </c>
      <c r="N11" s="5"/>
      <c r="O11" s="22"/>
      <c r="P11" s="16">
        <f>O9/$O$29</f>
        <v>1.5809400881219238</v>
      </c>
      <c r="Q11" s="9">
        <v>1.6</v>
      </c>
      <c r="R11" s="14">
        <v>38.416666666666664</v>
      </c>
      <c r="S11" s="4">
        <f t="shared" si="0"/>
        <v>82.993333333333339</v>
      </c>
      <c r="V11">
        <v>9</v>
      </c>
      <c r="W11">
        <v>1.6</v>
      </c>
    </row>
    <row r="12" spans="1:23" x14ac:dyDescent="0.25">
      <c r="A12" s="2">
        <v>10</v>
      </c>
      <c r="B12" s="5">
        <v>17.829999999999998</v>
      </c>
      <c r="C12" s="5">
        <v>128.66999999999999</v>
      </c>
      <c r="D12" s="5">
        <v>103.27</v>
      </c>
      <c r="E12" s="5">
        <v>43.93</v>
      </c>
      <c r="F12" s="5">
        <v>52.98</v>
      </c>
      <c r="G12" s="5">
        <v>68.540000000000006</v>
      </c>
      <c r="H12" s="5">
        <v>4.6900000000000004</v>
      </c>
      <c r="I12" s="5">
        <v>25.97</v>
      </c>
      <c r="J12" s="5">
        <v>49.94</v>
      </c>
      <c r="K12" s="5">
        <v>-3.01</v>
      </c>
      <c r="L12" s="5">
        <v>112.78</v>
      </c>
      <c r="M12" s="5">
        <v>109.97</v>
      </c>
      <c r="N12" s="5"/>
      <c r="O12" s="22">
        <f>AVERAGE(S12:S13)</f>
        <v>55.348333333333329</v>
      </c>
      <c r="P12" s="10"/>
      <c r="Q12" s="10">
        <v>1</v>
      </c>
      <c r="R12" s="14">
        <v>33.06666666666667</v>
      </c>
      <c r="S12" s="4">
        <f t="shared" si="0"/>
        <v>66.726666666666659</v>
      </c>
      <c r="V12">
        <v>10</v>
      </c>
      <c r="W12">
        <v>1</v>
      </c>
    </row>
    <row r="13" spans="1:23" x14ac:dyDescent="0.25">
      <c r="A13" s="2">
        <v>11</v>
      </c>
      <c r="B13" s="5">
        <v>11.7</v>
      </c>
      <c r="C13" s="5">
        <v>114.74</v>
      </c>
      <c r="D13" s="5">
        <v>60.06</v>
      </c>
      <c r="E13" s="5">
        <v>41.4</v>
      </c>
      <c r="F13" s="5">
        <v>30.45</v>
      </c>
      <c r="G13" s="5">
        <v>67.73</v>
      </c>
      <c r="H13" s="5">
        <v>0.02</v>
      </c>
      <c r="I13" s="5">
        <v>24.59</v>
      </c>
      <c r="J13" s="5">
        <v>28.96</v>
      </c>
      <c r="K13" s="5">
        <v>-3.04</v>
      </c>
      <c r="L13" s="5">
        <v>99.84</v>
      </c>
      <c r="M13" s="5">
        <v>102.75</v>
      </c>
      <c r="N13" s="5"/>
      <c r="O13" s="22"/>
      <c r="P13" s="16">
        <f>O12/$O$29</f>
        <v>0.97033217200174271</v>
      </c>
      <c r="Q13" s="10">
        <v>1</v>
      </c>
      <c r="R13" s="14">
        <v>30.78</v>
      </c>
      <c r="S13" s="4">
        <f t="shared" si="0"/>
        <v>43.97</v>
      </c>
      <c r="V13">
        <v>11</v>
      </c>
      <c r="W13">
        <v>1</v>
      </c>
    </row>
    <row r="14" spans="1:23" x14ac:dyDescent="0.25">
      <c r="A14" s="3">
        <v>12</v>
      </c>
      <c r="B14" s="5">
        <v>6.93</v>
      </c>
      <c r="C14" s="5">
        <v>113.52</v>
      </c>
      <c r="D14" s="5">
        <v>53.13</v>
      </c>
      <c r="E14" s="5">
        <v>40.549999999999997</v>
      </c>
      <c r="F14" s="5">
        <v>14.94</v>
      </c>
      <c r="G14" s="5">
        <v>68.069999999999993</v>
      </c>
      <c r="H14" s="5">
        <v>0.01</v>
      </c>
      <c r="I14" s="5">
        <v>23.85</v>
      </c>
      <c r="J14" s="5">
        <v>21.98</v>
      </c>
      <c r="K14" s="5">
        <v>-3.07</v>
      </c>
      <c r="L14" s="5">
        <v>97.36</v>
      </c>
      <c r="M14" s="5">
        <v>94.13</v>
      </c>
      <c r="N14" s="5"/>
      <c r="O14" s="22">
        <f>AVERAGE(S14:S17)</f>
        <v>38.692500000000003</v>
      </c>
      <c r="P14" s="10"/>
      <c r="Q14" s="10">
        <v>0.7</v>
      </c>
      <c r="R14" s="14">
        <v>30.643333333333334</v>
      </c>
      <c r="S14" s="4">
        <f t="shared" si="0"/>
        <v>36.206666666666671</v>
      </c>
      <c r="V14">
        <v>12</v>
      </c>
      <c r="W14">
        <v>0.7</v>
      </c>
    </row>
    <row r="15" spans="1:23" x14ac:dyDescent="0.25">
      <c r="A15" s="2">
        <v>13</v>
      </c>
      <c r="B15" s="5">
        <v>6.04</v>
      </c>
      <c r="C15" s="5">
        <v>112.87</v>
      </c>
      <c r="D15" s="5">
        <v>50.77</v>
      </c>
      <c r="E15" s="5">
        <v>40.01</v>
      </c>
      <c r="F15" s="5">
        <v>11.62</v>
      </c>
      <c r="G15" s="5">
        <v>70.150000000000006</v>
      </c>
      <c r="H15" s="5">
        <v>-0.13</v>
      </c>
      <c r="I15" s="5">
        <v>22.89</v>
      </c>
      <c r="J15" s="5">
        <v>15.87</v>
      </c>
      <c r="K15" s="5">
        <v>-3.06</v>
      </c>
      <c r="L15" s="5">
        <v>101.09</v>
      </c>
      <c r="M15" s="5">
        <v>88.3</v>
      </c>
      <c r="N15" s="5"/>
      <c r="O15" s="22"/>
      <c r="P15" s="10"/>
      <c r="Q15" s="10">
        <v>0.7</v>
      </c>
      <c r="R15" s="14">
        <v>30.970000000000002</v>
      </c>
      <c r="S15" s="4">
        <f t="shared" si="0"/>
        <v>34.133333333333333</v>
      </c>
      <c r="V15">
        <v>13</v>
      </c>
      <c r="W15">
        <v>0.7</v>
      </c>
    </row>
    <row r="16" spans="1:23" x14ac:dyDescent="0.25">
      <c r="A16" s="3">
        <v>14</v>
      </c>
      <c r="B16" s="5">
        <v>6.09</v>
      </c>
      <c r="C16" s="5">
        <v>112.83</v>
      </c>
      <c r="D16" s="5">
        <v>60.02</v>
      </c>
      <c r="E16" s="5">
        <v>40.07</v>
      </c>
      <c r="F16" s="5">
        <v>8.9499999999999993</v>
      </c>
      <c r="G16" s="5">
        <v>69.94</v>
      </c>
      <c r="H16" s="5">
        <v>-1.03</v>
      </c>
      <c r="I16" s="5">
        <v>22.98</v>
      </c>
      <c r="J16" s="5">
        <v>15.66</v>
      </c>
      <c r="K16" s="5">
        <v>-2.61</v>
      </c>
      <c r="L16" s="5">
        <v>106.27</v>
      </c>
      <c r="M16" s="5">
        <v>86.34</v>
      </c>
      <c r="N16" s="5"/>
      <c r="O16" s="22"/>
      <c r="P16" s="16">
        <f>O14/$O$29</f>
        <v>0.67833257668422597</v>
      </c>
      <c r="Q16" s="10">
        <v>0.7</v>
      </c>
      <c r="R16" s="14">
        <v>30.63</v>
      </c>
      <c r="S16" s="4">
        <f t="shared" si="0"/>
        <v>36.346666666666671</v>
      </c>
      <c r="V16">
        <v>14</v>
      </c>
      <c r="W16">
        <v>0.7</v>
      </c>
    </row>
    <row r="17" spans="1:23" x14ac:dyDescent="0.25">
      <c r="A17" s="2">
        <v>15</v>
      </c>
      <c r="B17" s="5">
        <v>19.100000000000001</v>
      </c>
      <c r="C17" s="5">
        <v>112.75</v>
      </c>
      <c r="D17" s="5">
        <v>91.65</v>
      </c>
      <c r="E17" s="5">
        <v>40.68</v>
      </c>
      <c r="F17" s="5">
        <v>11.92</v>
      </c>
      <c r="G17" s="5">
        <v>68</v>
      </c>
      <c r="H17" s="5">
        <v>-0.1</v>
      </c>
      <c r="I17" s="5">
        <v>23.16</v>
      </c>
      <c r="J17" s="5">
        <v>15.42</v>
      </c>
      <c r="K17" s="5">
        <v>-2.1</v>
      </c>
      <c r="L17" s="5">
        <v>121.21</v>
      </c>
      <c r="M17" s="5">
        <v>87.7</v>
      </c>
      <c r="N17" s="5"/>
      <c r="O17" s="22"/>
      <c r="P17" s="10"/>
      <c r="Q17" s="10">
        <v>0.7</v>
      </c>
      <c r="R17" s="14">
        <v>30.353333333333335</v>
      </c>
      <c r="S17" s="4">
        <f t="shared" si="0"/>
        <v>48.083333333333336</v>
      </c>
      <c r="V17">
        <v>15</v>
      </c>
      <c r="W17">
        <v>0.7</v>
      </c>
    </row>
    <row r="18" spans="1:23" x14ac:dyDescent="0.25">
      <c r="A18" s="2">
        <v>16</v>
      </c>
      <c r="B18" s="5">
        <v>27.43</v>
      </c>
      <c r="C18" s="5">
        <v>112.88</v>
      </c>
      <c r="D18" s="5">
        <v>101.05</v>
      </c>
      <c r="E18" s="5">
        <v>41.18</v>
      </c>
      <c r="F18" s="5">
        <v>39.97</v>
      </c>
      <c r="G18" s="5">
        <v>67.02</v>
      </c>
      <c r="H18" s="5">
        <v>1.77</v>
      </c>
      <c r="I18" s="5">
        <v>24.35</v>
      </c>
      <c r="J18" s="5">
        <v>16.100000000000001</v>
      </c>
      <c r="K18" s="5">
        <v>-1.1200000000000001</v>
      </c>
      <c r="L18" s="5">
        <v>122.96</v>
      </c>
      <c r="M18" s="5">
        <v>95.77</v>
      </c>
      <c r="N18" s="5"/>
      <c r="O18" s="9">
        <f>S18</f>
        <v>60.733333333333327</v>
      </c>
      <c r="P18" s="16">
        <f>O18/$O$29</f>
        <v>1.064738605430561</v>
      </c>
      <c r="Q18" s="10">
        <v>1</v>
      </c>
      <c r="R18" s="14">
        <v>31.046666666666663</v>
      </c>
      <c r="S18" s="4">
        <f t="shared" si="0"/>
        <v>60.733333333333327</v>
      </c>
      <c r="V18">
        <v>16</v>
      </c>
      <c r="W18">
        <v>1</v>
      </c>
    </row>
    <row r="19" spans="1:23" x14ac:dyDescent="0.25">
      <c r="A19" s="3">
        <v>17</v>
      </c>
      <c r="B19" s="5">
        <v>30.9</v>
      </c>
      <c r="C19" s="5">
        <v>112.18</v>
      </c>
      <c r="D19" s="5">
        <v>108.07</v>
      </c>
      <c r="E19" s="5">
        <v>45.79</v>
      </c>
      <c r="F19" s="5">
        <v>73.55</v>
      </c>
      <c r="G19" s="5">
        <v>67.91</v>
      </c>
      <c r="H19" s="5">
        <v>20.9</v>
      </c>
      <c r="I19" s="5">
        <v>24.9</v>
      </c>
      <c r="J19" s="5">
        <v>16.79</v>
      </c>
      <c r="K19" s="5">
        <v>-0.03</v>
      </c>
      <c r="L19" s="5">
        <v>127.84</v>
      </c>
      <c r="M19" s="5">
        <v>92.65</v>
      </c>
      <c r="N19" s="5"/>
      <c r="O19" s="22">
        <f>AVERAGE(S19:S23)</f>
        <v>79.770666666666671</v>
      </c>
      <c r="P19" s="10"/>
      <c r="Q19" s="10">
        <v>1.4</v>
      </c>
      <c r="R19" s="14">
        <v>37.903333333333336</v>
      </c>
      <c r="S19" s="4">
        <f t="shared" si="0"/>
        <v>75.803333333333327</v>
      </c>
      <c r="V19">
        <v>17</v>
      </c>
      <c r="W19">
        <v>1.4</v>
      </c>
    </row>
    <row r="20" spans="1:23" x14ac:dyDescent="0.25">
      <c r="A20" s="2">
        <v>18</v>
      </c>
      <c r="B20" s="5">
        <v>27.61</v>
      </c>
      <c r="C20" s="5">
        <v>108.92</v>
      </c>
      <c r="D20" s="5">
        <v>111.23</v>
      </c>
      <c r="E20" s="5">
        <v>51.78</v>
      </c>
      <c r="F20" s="5">
        <v>80.3</v>
      </c>
      <c r="G20" s="5">
        <v>69.91</v>
      </c>
      <c r="H20" s="5">
        <v>35.51</v>
      </c>
      <c r="I20" s="5">
        <v>23.98</v>
      </c>
      <c r="J20" s="5">
        <v>15.55</v>
      </c>
      <c r="K20" s="5">
        <v>0</v>
      </c>
      <c r="L20" s="5">
        <v>129.9</v>
      </c>
      <c r="M20" s="5">
        <v>84.91</v>
      </c>
      <c r="N20" s="5"/>
      <c r="O20" s="22"/>
      <c r="Q20" s="10">
        <v>1.4</v>
      </c>
      <c r="R20" s="14">
        <v>43.133333333333326</v>
      </c>
      <c r="S20" s="4">
        <f t="shared" si="0"/>
        <v>81.103333333333339</v>
      </c>
      <c r="V20">
        <v>18</v>
      </c>
      <c r="W20">
        <v>1.4</v>
      </c>
    </row>
    <row r="21" spans="1:23" x14ac:dyDescent="0.25">
      <c r="A21" s="3">
        <v>19</v>
      </c>
      <c r="B21" s="5">
        <v>25.9</v>
      </c>
      <c r="C21" s="5">
        <v>104.96</v>
      </c>
      <c r="D21" s="5">
        <v>109.53</v>
      </c>
      <c r="E21" s="5">
        <v>54.53</v>
      </c>
      <c r="F21" s="5">
        <v>82.8</v>
      </c>
      <c r="G21" s="5">
        <v>68.69</v>
      </c>
      <c r="H21" s="5">
        <v>35.79</v>
      </c>
      <c r="I21" s="5">
        <v>22.87</v>
      </c>
      <c r="J21" s="5">
        <v>13.33</v>
      </c>
      <c r="K21" s="5">
        <v>-0.01</v>
      </c>
      <c r="L21" s="5">
        <v>121.08</v>
      </c>
      <c r="M21" s="5">
        <v>79.599999999999994</v>
      </c>
      <c r="N21" s="5"/>
      <c r="O21" s="22"/>
      <c r="P21" s="10"/>
      <c r="Q21" s="10">
        <v>1.4</v>
      </c>
      <c r="R21" s="14">
        <v>42.449999999999996</v>
      </c>
      <c r="S21" s="4">
        <f t="shared" si="0"/>
        <v>82.286666666666676</v>
      </c>
      <c r="V21">
        <v>19</v>
      </c>
      <c r="W21">
        <v>1.4</v>
      </c>
    </row>
    <row r="22" spans="1:23" x14ac:dyDescent="0.25">
      <c r="A22" s="2">
        <v>20</v>
      </c>
      <c r="B22" s="5">
        <v>12.47</v>
      </c>
      <c r="C22" s="5">
        <v>73.739999999999995</v>
      </c>
      <c r="D22" s="5">
        <v>105.26</v>
      </c>
      <c r="E22" s="5">
        <v>52.31</v>
      </c>
      <c r="F22" s="5">
        <v>83.71</v>
      </c>
      <c r="G22" s="5">
        <v>63.62</v>
      </c>
      <c r="H22" s="5">
        <v>33.51</v>
      </c>
      <c r="I22" s="5">
        <v>24.35</v>
      </c>
      <c r="J22" s="5">
        <v>12.17</v>
      </c>
      <c r="K22" s="5">
        <v>-0.46</v>
      </c>
      <c r="L22" s="5">
        <v>109.9</v>
      </c>
      <c r="M22" s="5">
        <v>77.010000000000005</v>
      </c>
      <c r="N22" s="5"/>
      <c r="O22" s="22"/>
      <c r="P22" s="10"/>
      <c r="Q22" s="10">
        <v>1.4</v>
      </c>
      <c r="R22" s="14">
        <v>40.493333333333332</v>
      </c>
      <c r="S22" s="4">
        <f t="shared" si="0"/>
        <v>80.426666666666662</v>
      </c>
      <c r="V22">
        <v>20</v>
      </c>
      <c r="W22">
        <v>1.4</v>
      </c>
    </row>
    <row r="23" spans="1:23" x14ac:dyDescent="0.25">
      <c r="A23" s="2">
        <v>21</v>
      </c>
      <c r="B23" s="5">
        <v>20.79</v>
      </c>
      <c r="C23" s="5">
        <v>66.17</v>
      </c>
      <c r="D23" s="5">
        <v>105.06</v>
      </c>
      <c r="E23" s="5">
        <v>50.01</v>
      </c>
      <c r="F23" s="5">
        <v>82.63</v>
      </c>
      <c r="G23" s="5">
        <v>60.47</v>
      </c>
      <c r="H23" s="5">
        <v>30.67</v>
      </c>
      <c r="I23" s="5">
        <v>23.17</v>
      </c>
      <c r="J23" s="5">
        <v>11.16</v>
      </c>
      <c r="K23" s="5">
        <v>-1.1000000000000001</v>
      </c>
      <c r="L23" s="5">
        <v>97.5</v>
      </c>
      <c r="M23" s="5">
        <v>75.7</v>
      </c>
      <c r="N23" s="5"/>
      <c r="O23" s="22"/>
      <c r="P23" s="16">
        <f>O19/$O$29</f>
        <v>1.3984891610471926</v>
      </c>
      <c r="Q23" s="16">
        <v>1.4</v>
      </c>
      <c r="R23" s="14">
        <v>38.103333333333332</v>
      </c>
      <c r="S23" s="4">
        <f t="shared" si="0"/>
        <v>79.233333333333334</v>
      </c>
      <c r="V23">
        <v>21</v>
      </c>
      <c r="W23">
        <v>1.4</v>
      </c>
    </row>
    <row r="24" spans="1:23" x14ac:dyDescent="0.25">
      <c r="A24" s="3">
        <v>22</v>
      </c>
      <c r="B24" s="5">
        <v>31.04</v>
      </c>
      <c r="C24" s="5">
        <v>58.34</v>
      </c>
      <c r="D24" s="5">
        <v>81.67</v>
      </c>
      <c r="E24" s="5">
        <v>46.89</v>
      </c>
      <c r="F24" s="5">
        <v>17.87</v>
      </c>
      <c r="G24" s="5">
        <v>56.84</v>
      </c>
      <c r="H24" s="5">
        <v>20.75</v>
      </c>
      <c r="I24" s="5">
        <v>18.989999999999998</v>
      </c>
      <c r="J24" s="5">
        <v>8.93</v>
      </c>
      <c r="K24" s="5">
        <v>-1.26</v>
      </c>
      <c r="L24" s="5">
        <v>91.66</v>
      </c>
      <c r="M24" s="5">
        <v>60.8</v>
      </c>
      <c r="N24" s="5"/>
      <c r="O24" s="20">
        <f>AVERAGE(S24:S25)</f>
        <v>45.04</v>
      </c>
      <c r="P24" s="9"/>
      <c r="Q24" s="16">
        <v>0.8</v>
      </c>
      <c r="R24" s="14">
        <v>32.193333333333335</v>
      </c>
      <c r="S24" s="4">
        <f t="shared" si="0"/>
        <v>48.81</v>
      </c>
      <c r="V24">
        <v>22</v>
      </c>
      <c r="W24">
        <v>0.8</v>
      </c>
    </row>
    <row r="25" spans="1:23" x14ac:dyDescent="0.25">
      <c r="A25" s="2">
        <v>23</v>
      </c>
      <c r="B25" s="5">
        <v>32.380000000000003</v>
      </c>
      <c r="C25" s="5">
        <v>49.59</v>
      </c>
      <c r="D25" s="5">
        <v>72.91</v>
      </c>
      <c r="E25" s="5">
        <v>43.66</v>
      </c>
      <c r="F25" s="5">
        <v>7.24</v>
      </c>
      <c r="G25" s="5">
        <v>51.48</v>
      </c>
      <c r="H25" s="5">
        <v>16.22</v>
      </c>
      <c r="I25" s="5">
        <v>17.559999999999999</v>
      </c>
      <c r="J25" s="5">
        <v>6.02</v>
      </c>
      <c r="K25" s="5">
        <v>-2.0699999999999998</v>
      </c>
      <c r="L25" s="5">
        <v>84.21</v>
      </c>
      <c r="M25" s="5">
        <v>69.47</v>
      </c>
      <c r="N25" s="5"/>
      <c r="O25" s="20"/>
      <c r="P25" s="16">
        <f>O24/$O$29</f>
        <v>0.78961295480668181</v>
      </c>
      <c r="Q25" s="16">
        <v>0.8</v>
      </c>
      <c r="R25" s="14">
        <v>28.419999999999998</v>
      </c>
      <c r="S25" s="4">
        <f t="shared" si="0"/>
        <v>41.269999999999996</v>
      </c>
      <c r="V25">
        <v>23</v>
      </c>
      <c r="W25">
        <v>0.8</v>
      </c>
    </row>
    <row r="26" spans="1:23" x14ac:dyDescent="0.25">
      <c r="A26" s="1"/>
    </row>
    <row r="27" spans="1:23" x14ac:dyDescent="0.25">
      <c r="A27" s="1"/>
    </row>
    <row r="28" spans="1:23" x14ac:dyDescent="0.25">
      <c r="A28" s="1"/>
      <c r="I28" t="s">
        <v>37</v>
      </c>
    </row>
    <row r="29" spans="1:23" x14ac:dyDescent="0.25">
      <c r="A29" s="1"/>
      <c r="I29" t="s">
        <v>39</v>
      </c>
      <c r="O29" s="5">
        <f>AVERAGE(O2:O25)</f>
        <v>57.040604166666675</v>
      </c>
      <c r="P29" s="5"/>
      <c r="Q29" s="5"/>
    </row>
    <row r="30" spans="1:23" x14ac:dyDescent="0.25">
      <c r="A30" s="1"/>
    </row>
    <row r="31" spans="1:23" x14ac:dyDescent="0.25">
      <c r="A31" s="1"/>
    </row>
    <row r="32" spans="1:23" x14ac:dyDescent="0.25">
      <c r="O32" s="15"/>
    </row>
  </sheetData>
  <mergeCells count="6">
    <mergeCell ref="O2:O7"/>
    <mergeCell ref="O24:O25"/>
    <mergeCell ref="O9:O11"/>
    <mergeCell ref="O12:O13"/>
    <mergeCell ref="O14:O17"/>
    <mergeCell ref="O19:O23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FA0C863-E470-4EEE-B2CE-D21F57FBCF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Spring!Q1:Q1</xm:f>
              <xm:sqref>A1</xm:sqref>
            </x14:sparkline>
            <x14:sparkline>
              <xm:f>Spring!Q2:Q2</xm:f>
              <xm:sqref>A2</xm:sqref>
            </x14:sparkline>
            <x14:sparkline>
              <xm:f>Spring!Q3:Q3</xm:f>
              <xm:sqref>A3</xm:sqref>
            </x14:sparkline>
            <x14:sparkline>
              <xm:f>Spring!Q4:Q4</xm:f>
              <xm:sqref>A4</xm:sqref>
            </x14:sparkline>
            <x14:sparkline>
              <xm:f>Spring!Q5:Q5</xm:f>
              <xm:sqref>A5</xm:sqref>
            </x14:sparkline>
            <x14:sparkline>
              <xm:f>Spring!Q6:Q6</xm:f>
              <xm:sqref>A6</xm:sqref>
            </x14:sparkline>
            <x14:sparkline>
              <xm:f>Spring!Q7:Q7</xm:f>
              <xm:sqref>A7</xm:sqref>
            </x14:sparkline>
            <x14:sparkline>
              <xm:f>Spring!Q8:Q8</xm:f>
              <xm:sqref>A8</xm:sqref>
            </x14:sparkline>
            <x14:sparkline>
              <xm:f>Spring!Q9:Q9</xm:f>
              <xm:sqref>A9</xm:sqref>
            </x14:sparkline>
            <x14:sparkline>
              <xm:f>Spring!Q10:Q10</xm:f>
              <xm:sqref>A10</xm:sqref>
            </x14:sparkline>
            <x14:sparkline>
              <xm:f>Spring!Q11:Q11</xm:f>
              <xm:sqref>A11</xm:sqref>
            </x14:sparkline>
            <x14:sparkline>
              <xm:f>Spring!Q12:Q12</xm:f>
              <xm:sqref>A12</xm:sqref>
            </x14:sparkline>
            <x14:sparkline>
              <xm:f>Spring!Q13:Q13</xm:f>
              <xm:sqref>A13</xm:sqref>
            </x14:sparkline>
            <x14:sparkline>
              <xm:f>Spring!Q14:Q14</xm:f>
              <xm:sqref>A14</xm:sqref>
            </x14:sparkline>
            <x14:sparkline>
              <xm:f>Spring!Q15:Q15</xm:f>
              <xm:sqref>A15</xm:sqref>
            </x14:sparkline>
            <x14:sparkline>
              <xm:f>Spring!Q16:Q16</xm:f>
              <xm:sqref>A16</xm:sqref>
            </x14:sparkline>
            <x14:sparkline>
              <xm:f>Spring!Q17:Q17</xm:f>
              <xm:sqref>A17</xm:sqref>
            </x14:sparkline>
            <x14:sparkline>
              <xm:f>Spring!Q18:Q18</xm:f>
              <xm:sqref>A18</xm:sqref>
            </x14:sparkline>
            <x14:sparkline>
              <xm:f>Spring!Q19:Q19</xm:f>
              <xm:sqref>A19</xm:sqref>
            </x14:sparkline>
            <x14:sparkline>
              <xm:f>Spring!Q20:Q20</xm:f>
              <xm:sqref>A20</xm:sqref>
            </x14:sparkline>
            <x14:sparkline>
              <xm:f>Spring!Q21:Q21</xm:f>
              <xm:sqref>A21</xm:sqref>
            </x14:sparkline>
            <x14:sparkline>
              <xm:f>Spring!Q22:Q22</xm:f>
              <xm:sqref>A22</xm:sqref>
            </x14:sparkline>
            <x14:sparkline>
              <xm:f>Spring!Q23:Q23</xm:f>
              <xm:sqref>A23</xm:sqref>
            </x14:sparkline>
            <x14:sparkline>
              <xm:f>Spring!Q24:Q24</xm:f>
              <xm:sqref>A24</xm:sqref>
            </x14:sparkline>
            <x14:sparkline>
              <xm:f>Spring!Q25:Q25</xm:f>
              <xm:sqref>A25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017F-F665-46A6-A1B0-96546BAEE2DB}">
  <dimension ref="A1:W32"/>
  <sheetViews>
    <sheetView workbookViewId="0">
      <selection activeCell="W1" sqref="W1:W25"/>
    </sheetView>
  </sheetViews>
  <sheetFormatPr defaultRowHeight="15" x14ac:dyDescent="0.25"/>
  <cols>
    <col min="2" max="6" width="0" hidden="1" customWidth="1"/>
    <col min="10" max="13" width="0" hidden="1" customWidth="1"/>
    <col min="18" max="18" width="9.5703125" hidden="1" customWidth="1"/>
  </cols>
  <sheetData>
    <row r="1" spans="1:23" x14ac:dyDescent="0.25">
      <c r="A1" s="1" t="s">
        <v>48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O1" s="1"/>
      <c r="P1" s="1" t="s">
        <v>38</v>
      </c>
      <c r="Q1" s="1" t="s">
        <v>42</v>
      </c>
      <c r="R1" s="1" t="s">
        <v>36</v>
      </c>
      <c r="S1" s="1" t="s">
        <v>36</v>
      </c>
      <c r="T1" s="1"/>
      <c r="V1" t="s">
        <v>48</v>
      </c>
      <c r="W1" t="s">
        <v>42</v>
      </c>
    </row>
    <row r="2" spans="1:23" x14ac:dyDescent="0.25">
      <c r="A2" s="6">
        <v>0</v>
      </c>
      <c r="B2" s="5">
        <v>27.4</v>
      </c>
      <c r="C2" s="5">
        <v>72.17</v>
      </c>
      <c r="D2" s="5">
        <v>59.83</v>
      </c>
      <c r="E2" s="5">
        <v>28.21</v>
      </c>
      <c r="F2" s="5">
        <v>4.6500000000000004</v>
      </c>
      <c r="G2" s="5">
        <v>52.65</v>
      </c>
      <c r="H2" s="5">
        <v>37.340000000000003</v>
      </c>
      <c r="I2" s="5">
        <v>17.04</v>
      </c>
      <c r="J2" s="5">
        <v>14.49</v>
      </c>
      <c r="K2" s="5">
        <v>-4.37</v>
      </c>
      <c r="L2" s="5">
        <v>81.099999999999994</v>
      </c>
      <c r="M2" s="5">
        <v>86.13</v>
      </c>
      <c r="N2" s="5"/>
      <c r="O2" s="23">
        <f>AVERAGE(S2:S7)</f>
        <v>31.085555555555558</v>
      </c>
      <c r="P2" s="16"/>
      <c r="Q2" s="16" t="s">
        <v>45</v>
      </c>
      <c r="R2" s="14">
        <v>35.676666666666669</v>
      </c>
      <c r="S2" s="4">
        <f>AVERAGE(G2:I2)</f>
        <v>35.676666666666669</v>
      </c>
      <c r="V2">
        <v>0</v>
      </c>
      <c r="W2">
        <v>0.8</v>
      </c>
    </row>
    <row r="3" spans="1:23" x14ac:dyDescent="0.25">
      <c r="A3" s="7">
        <v>1</v>
      </c>
      <c r="B3" s="5">
        <v>27.23</v>
      </c>
      <c r="C3" s="5">
        <v>69.290000000000006</v>
      </c>
      <c r="D3" s="5">
        <v>56.95</v>
      </c>
      <c r="E3" s="5">
        <v>28.15</v>
      </c>
      <c r="F3" s="5">
        <v>4.63</v>
      </c>
      <c r="G3" s="5">
        <v>48.47</v>
      </c>
      <c r="H3" s="5">
        <v>36.57</v>
      </c>
      <c r="I3" s="5">
        <v>16</v>
      </c>
      <c r="J3" s="5">
        <v>13.91</v>
      </c>
      <c r="K3" s="5">
        <v>-4.4000000000000004</v>
      </c>
      <c r="L3" s="5">
        <v>76.42</v>
      </c>
      <c r="M3" s="5">
        <v>82.93</v>
      </c>
      <c r="N3" s="5"/>
      <c r="O3" s="23"/>
      <c r="P3" s="16"/>
      <c r="Q3" s="16" t="s">
        <v>45</v>
      </c>
      <c r="R3" s="14">
        <v>33.68</v>
      </c>
      <c r="S3" s="4">
        <f t="shared" ref="S3:S25" si="0">AVERAGE(G3:I3)</f>
        <v>33.68</v>
      </c>
      <c r="V3">
        <v>1</v>
      </c>
      <c r="W3">
        <v>0.8</v>
      </c>
    </row>
    <row r="4" spans="1:23" x14ac:dyDescent="0.25">
      <c r="A4" s="6">
        <v>2</v>
      </c>
      <c r="B4" s="5">
        <v>24.28</v>
      </c>
      <c r="C4" s="5">
        <v>66.94</v>
      </c>
      <c r="D4" s="5">
        <v>56.94</v>
      </c>
      <c r="E4" s="5">
        <v>28.59</v>
      </c>
      <c r="F4" s="5">
        <v>4.8</v>
      </c>
      <c r="G4" s="5">
        <v>48.34</v>
      </c>
      <c r="H4" s="5">
        <v>29.15</v>
      </c>
      <c r="I4" s="5">
        <v>14.89</v>
      </c>
      <c r="J4" s="5">
        <v>13.19</v>
      </c>
      <c r="K4" s="5">
        <v>-4.43</v>
      </c>
      <c r="L4" s="5">
        <v>72.900000000000006</v>
      </c>
      <c r="M4" s="5">
        <v>80.099999999999994</v>
      </c>
      <c r="N4" s="5"/>
      <c r="O4" s="23"/>
      <c r="P4" s="16">
        <f>O2/$O$29</f>
        <v>0.87397496859359547</v>
      </c>
      <c r="Q4" s="16" t="s">
        <v>45</v>
      </c>
      <c r="R4" s="14">
        <v>30.793333333333337</v>
      </c>
      <c r="S4" s="4">
        <f t="shared" si="0"/>
        <v>30.793333333333337</v>
      </c>
      <c r="V4">
        <v>2</v>
      </c>
      <c r="W4">
        <v>0.8</v>
      </c>
    </row>
    <row r="5" spans="1:23" x14ac:dyDescent="0.25">
      <c r="A5" s="7">
        <v>3</v>
      </c>
      <c r="B5" s="5">
        <v>13</v>
      </c>
      <c r="C5" s="5">
        <v>67.78</v>
      </c>
      <c r="D5" s="5">
        <v>56.97</v>
      </c>
      <c r="E5" s="5">
        <v>29.92</v>
      </c>
      <c r="F5" s="5">
        <v>5.0999999999999996</v>
      </c>
      <c r="G5" s="5">
        <v>50.26</v>
      </c>
      <c r="H5" s="5">
        <v>19.95</v>
      </c>
      <c r="I5" s="5">
        <v>15.18</v>
      </c>
      <c r="J5" s="5">
        <v>12.47</v>
      </c>
      <c r="K5" s="5">
        <v>-4.3499999999999996</v>
      </c>
      <c r="L5" s="5">
        <v>70.69</v>
      </c>
      <c r="M5" s="5">
        <v>76.55</v>
      </c>
      <c r="N5" s="5"/>
      <c r="O5" s="23"/>
      <c r="P5" s="16"/>
      <c r="Q5" s="16" t="s">
        <v>45</v>
      </c>
      <c r="R5" s="14">
        <v>28.463333333333328</v>
      </c>
      <c r="S5" s="4">
        <f t="shared" si="0"/>
        <v>28.463333333333328</v>
      </c>
      <c r="V5">
        <v>3</v>
      </c>
      <c r="W5">
        <v>0.8</v>
      </c>
    </row>
    <row r="6" spans="1:23" x14ac:dyDescent="0.25">
      <c r="A6" s="6">
        <v>4</v>
      </c>
      <c r="B6" s="5">
        <v>7.98</v>
      </c>
      <c r="C6" s="5">
        <v>72.17</v>
      </c>
      <c r="D6" s="5">
        <v>54.97</v>
      </c>
      <c r="E6" s="5">
        <v>32.32</v>
      </c>
      <c r="F6" s="5">
        <v>5.28</v>
      </c>
      <c r="G6" s="5">
        <v>51.87</v>
      </c>
      <c r="H6" s="5">
        <v>16.98</v>
      </c>
      <c r="I6" s="5">
        <v>15.31</v>
      </c>
      <c r="J6" s="5">
        <v>12.5</v>
      </c>
      <c r="K6" s="5">
        <v>-4.33</v>
      </c>
      <c r="L6" s="5">
        <v>74.45</v>
      </c>
      <c r="M6" s="5">
        <v>75.16</v>
      </c>
      <c r="N6" s="5"/>
      <c r="O6" s="23"/>
      <c r="P6" s="16"/>
      <c r="Q6" s="16" t="s">
        <v>45</v>
      </c>
      <c r="R6" s="14">
        <v>28.053333333333331</v>
      </c>
      <c r="S6" s="4">
        <f t="shared" si="0"/>
        <v>28.053333333333331</v>
      </c>
      <c r="V6">
        <v>4</v>
      </c>
      <c r="W6">
        <v>0.8</v>
      </c>
    </row>
    <row r="7" spans="1:23" x14ac:dyDescent="0.25">
      <c r="A7" s="7">
        <v>5</v>
      </c>
      <c r="B7" s="5">
        <v>4.8499999999999996</v>
      </c>
      <c r="C7" s="5">
        <v>69.290000000000006</v>
      </c>
      <c r="D7" s="5">
        <v>57.23</v>
      </c>
      <c r="E7" s="5">
        <v>38.01</v>
      </c>
      <c r="F7" s="5">
        <v>6.69</v>
      </c>
      <c r="G7" s="5">
        <v>58.5</v>
      </c>
      <c r="H7" s="5">
        <v>13.69</v>
      </c>
      <c r="I7" s="5">
        <v>17.350000000000001</v>
      </c>
      <c r="J7" s="5">
        <v>12.49</v>
      </c>
      <c r="K7" s="5">
        <v>-3.97</v>
      </c>
      <c r="L7" s="5">
        <v>80.680000000000007</v>
      </c>
      <c r="M7" s="5">
        <v>80.41</v>
      </c>
      <c r="N7" s="5"/>
      <c r="O7" s="23"/>
      <c r="Q7" s="9">
        <v>0.99736828295256996</v>
      </c>
      <c r="R7" s="14">
        <v>29.846666666666664</v>
      </c>
      <c r="S7" s="4">
        <f t="shared" si="0"/>
        <v>29.846666666666664</v>
      </c>
      <c r="V7">
        <v>5</v>
      </c>
      <c r="W7">
        <v>1</v>
      </c>
    </row>
    <row r="8" spans="1:23" x14ac:dyDescent="0.25">
      <c r="A8" s="2">
        <v>6</v>
      </c>
      <c r="B8" s="5">
        <v>6.05</v>
      </c>
      <c r="C8" s="5">
        <v>109.05</v>
      </c>
      <c r="D8" s="5">
        <v>112.86</v>
      </c>
      <c r="E8" s="5">
        <v>39.11</v>
      </c>
      <c r="F8" s="5">
        <v>14.51</v>
      </c>
      <c r="G8" s="5">
        <v>60.69</v>
      </c>
      <c r="H8" s="5">
        <v>19.899999999999999</v>
      </c>
      <c r="I8" s="5">
        <v>19.170000000000002</v>
      </c>
      <c r="J8" s="5">
        <v>13.93</v>
      </c>
      <c r="K8" s="5">
        <v>-3.32</v>
      </c>
      <c r="L8" s="5">
        <v>98.69</v>
      </c>
      <c r="M8" s="5">
        <v>95.97</v>
      </c>
      <c r="N8" s="5"/>
      <c r="O8" s="20">
        <f>AVERAGE(S8:S9)</f>
        <v>35.446666666666673</v>
      </c>
      <c r="P8" s="9"/>
      <c r="Q8" s="9">
        <v>0.99736828295256996</v>
      </c>
      <c r="R8" s="14">
        <v>33.253333333333337</v>
      </c>
      <c r="S8" s="4">
        <f t="shared" si="0"/>
        <v>33.253333333333337</v>
      </c>
      <c r="V8">
        <v>6</v>
      </c>
      <c r="W8">
        <v>1</v>
      </c>
    </row>
    <row r="9" spans="1:23" x14ac:dyDescent="0.25">
      <c r="A9" s="3">
        <v>7</v>
      </c>
      <c r="B9" s="5">
        <v>10.09</v>
      </c>
      <c r="C9" s="5">
        <v>112.97</v>
      </c>
      <c r="D9" s="5">
        <v>136.33000000000001</v>
      </c>
      <c r="E9" s="5">
        <v>41.17</v>
      </c>
      <c r="F9" s="5">
        <v>92.26</v>
      </c>
      <c r="G9" s="5">
        <v>67.459999999999994</v>
      </c>
      <c r="H9" s="5">
        <v>22.6</v>
      </c>
      <c r="I9" s="5">
        <v>22.86</v>
      </c>
      <c r="J9" s="5">
        <v>28.97</v>
      </c>
      <c r="K9" s="5">
        <v>-3.01</v>
      </c>
      <c r="L9" s="5">
        <v>122.19</v>
      </c>
      <c r="M9" s="5">
        <v>106.95</v>
      </c>
      <c r="N9" s="5"/>
      <c r="O9" s="20"/>
      <c r="P9" s="16">
        <f>O8/$O$29</f>
        <v>0.99658824920730904</v>
      </c>
      <c r="Q9" s="9">
        <v>0.99736828295256996</v>
      </c>
      <c r="R9" s="14">
        <v>37.64</v>
      </c>
      <c r="S9" s="4">
        <f t="shared" si="0"/>
        <v>37.64</v>
      </c>
      <c r="V9">
        <v>7</v>
      </c>
      <c r="W9">
        <v>1</v>
      </c>
    </row>
    <row r="10" spans="1:23" x14ac:dyDescent="0.25">
      <c r="A10" s="2">
        <v>8</v>
      </c>
      <c r="B10" s="5">
        <v>14.03</v>
      </c>
      <c r="C10" s="5">
        <v>182.72</v>
      </c>
      <c r="D10" s="5">
        <v>148.68</v>
      </c>
      <c r="E10" s="5">
        <v>50.05</v>
      </c>
      <c r="F10" s="5">
        <v>94.13</v>
      </c>
      <c r="G10" s="5">
        <v>72.260000000000005</v>
      </c>
      <c r="H10" s="5">
        <v>29.87</v>
      </c>
      <c r="I10" s="5">
        <v>26.26</v>
      </c>
      <c r="J10" s="5">
        <v>125.07</v>
      </c>
      <c r="K10" s="5">
        <v>-2.61</v>
      </c>
      <c r="L10" s="5">
        <v>128.59</v>
      </c>
      <c r="M10" s="5">
        <v>121.5</v>
      </c>
      <c r="N10" s="5"/>
      <c r="O10" s="22">
        <f>AVERAGE(S10:S11)</f>
        <v>40.606666666666669</v>
      </c>
      <c r="P10" s="10"/>
      <c r="Q10" s="9">
        <v>1.1499999999999999</v>
      </c>
      <c r="R10" s="14">
        <v>42.796666666666674</v>
      </c>
      <c r="S10" s="4">
        <f t="shared" si="0"/>
        <v>42.796666666666674</v>
      </c>
      <c r="V10">
        <v>8</v>
      </c>
      <c r="W10">
        <v>1.1499999999999999</v>
      </c>
    </row>
    <row r="11" spans="1:23" x14ac:dyDescent="0.25">
      <c r="A11" s="3">
        <v>9</v>
      </c>
      <c r="B11" s="5">
        <v>19.07</v>
      </c>
      <c r="C11" s="5">
        <v>150.97999999999999</v>
      </c>
      <c r="D11" s="5">
        <v>111.63</v>
      </c>
      <c r="E11" s="5">
        <v>50.02</v>
      </c>
      <c r="F11" s="5">
        <v>87.33</v>
      </c>
      <c r="G11" s="5">
        <v>69.900000000000006</v>
      </c>
      <c r="H11" s="5">
        <v>17.41</v>
      </c>
      <c r="I11" s="5">
        <v>27.94</v>
      </c>
      <c r="J11" s="5">
        <v>104.38</v>
      </c>
      <c r="K11" s="5">
        <v>-3.03</v>
      </c>
      <c r="L11" s="5">
        <v>121.29</v>
      </c>
      <c r="M11" s="5">
        <v>117.44</v>
      </c>
      <c r="N11" s="5"/>
      <c r="O11" s="17"/>
      <c r="P11" s="16">
        <f>O10/$O$29</f>
        <v>1.1416624084863116</v>
      </c>
      <c r="Q11" s="9">
        <v>1.1499999999999999</v>
      </c>
      <c r="R11" s="14">
        <v>38.416666666666664</v>
      </c>
      <c r="S11" s="4">
        <f t="shared" si="0"/>
        <v>38.416666666666664</v>
      </c>
      <c r="V11">
        <v>9</v>
      </c>
      <c r="W11">
        <v>1.1499999999999999</v>
      </c>
    </row>
    <row r="12" spans="1:23" x14ac:dyDescent="0.25">
      <c r="A12" s="2">
        <v>10</v>
      </c>
      <c r="B12" s="5">
        <v>17.829999999999998</v>
      </c>
      <c r="C12" s="5">
        <v>128.66999999999999</v>
      </c>
      <c r="D12" s="5">
        <v>103.27</v>
      </c>
      <c r="E12" s="5">
        <v>43.93</v>
      </c>
      <c r="F12" s="5">
        <v>52.98</v>
      </c>
      <c r="G12" s="5">
        <v>68.540000000000006</v>
      </c>
      <c r="H12" s="5">
        <v>4.6900000000000004</v>
      </c>
      <c r="I12" s="5">
        <v>25.97</v>
      </c>
      <c r="J12" s="5">
        <v>49.94</v>
      </c>
      <c r="K12" s="5">
        <v>-3.01</v>
      </c>
      <c r="L12" s="5">
        <v>112.78</v>
      </c>
      <c r="M12" s="5">
        <v>109.97</v>
      </c>
      <c r="N12" s="5"/>
      <c r="O12" s="22">
        <f>AVERAGE(S12:S18)</f>
        <v>31.069999999999997</v>
      </c>
      <c r="P12" s="10"/>
      <c r="Q12" s="10" t="s">
        <v>44</v>
      </c>
      <c r="R12" s="14">
        <v>33.06666666666667</v>
      </c>
      <c r="S12" s="4">
        <f t="shared" si="0"/>
        <v>33.06666666666667</v>
      </c>
      <c r="V12">
        <v>10</v>
      </c>
      <c r="W12">
        <v>0.9</v>
      </c>
    </row>
    <row r="13" spans="1:23" x14ac:dyDescent="0.25">
      <c r="A13" s="2">
        <v>11</v>
      </c>
      <c r="B13" s="5">
        <v>11.7</v>
      </c>
      <c r="C13" s="5">
        <v>114.74</v>
      </c>
      <c r="D13" s="5">
        <v>60.06</v>
      </c>
      <c r="E13" s="5">
        <v>41.4</v>
      </c>
      <c r="F13" s="5">
        <v>30.45</v>
      </c>
      <c r="G13" s="5">
        <v>67.73</v>
      </c>
      <c r="H13" s="5">
        <v>0.02</v>
      </c>
      <c r="I13" s="5">
        <v>24.59</v>
      </c>
      <c r="J13" s="5">
        <v>28.96</v>
      </c>
      <c r="K13" s="5">
        <v>-3.04</v>
      </c>
      <c r="L13" s="5">
        <v>99.84</v>
      </c>
      <c r="M13" s="5">
        <v>102.75</v>
      </c>
      <c r="N13" s="5"/>
      <c r="O13" s="17"/>
      <c r="P13" s="10"/>
      <c r="Q13" s="10" t="s">
        <v>44</v>
      </c>
      <c r="R13" s="14">
        <v>30.78</v>
      </c>
      <c r="S13" s="4">
        <f t="shared" si="0"/>
        <v>30.78</v>
      </c>
      <c r="V13">
        <v>11</v>
      </c>
      <c r="W13">
        <v>0.9</v>
      </c>
    </row>
    <row r="14" spans="1:23" x14ac:dyDescent="0.25">
      <c r="A14" s="3">
        <v>12</v>
      </c>
      <c r="B14" s="5">
        <v>6.93</v>
      </c>
      <c r="C14" s="5">
        <v>113.52</v>
      </c>
      <c r="D14" s="5">
        <v>53.13</v>
      </c>
      <c r="E14" s="5">
        <v>40.549999999999997</v>
      </c>
      <c r="F14" s="5">
        <v>14.94</v>
      </c>
      <c r="G14" s="5">
        <v>68.069999999999993</v>
      </c>
      <c r="H14" s="5">
        <v>0.01</v>
      </c>
      <c r="I14" s="5">
        <v>23.85</v>
      </c>
      <c r="J14" s="5">
        <v>21.98</v>
      </c>
      <c r="K14" s="5">
        <v>-3.07</v>
      </c>
      <c r="L14" s="5">
        <v>97.36</v>
      </c>
      <c r="M14" s="5">
        <v>94.13</v>
      </c>
      <c r="N14" s="5"/>
      <c r="O14" s="17"/>
      <c r="P14" s="10"/>
      <c r="Q14" s="10" t="s">
        <v>44</v>
      </c>
      <c r="R14" s="14">
        <v>30.643333333333334</v>
      </c>
      <c r="S14" s="4">
        <f t="shared" si="0"/>
        <v>30.643333333333334</v>
      </c>
      <c r="V14">
        <v>12</v>
      </c>
      <c r="W14">
        <v>0.9</v>
      </c>
    </row>
    <row r="15" spans="1:23" x14ac:dyDescent="0.25">
      <c r="A15" s="2">
        <v>13</v>
      </c>
      <c r="B15" s="5">
        <v>6.04</v>
      </c>
      <c r="C15" s="5">
        <v>112.87</v>
      </c>
      <c r="D15" s="5">
        <v>50.77</v>
      </c>
      <c r="E15" s="5">
        <v>40.01</v>
      </c>
      <c r="F15" s="5">
        <v>11.62</v>
      </c>
      <c r="G15" s="5">
        <v>70.150000000000006</v>
      </c>
      <c r="H15" s="5">
        <v>-0.13</v>
      </c>
      <c r="I15" s="5">
        <v>22.89</v>
      </c>
      <c r="J15" s="5">
        <v>15.87</v>
      </c>
      <c r="K15" s="5">
        <v>-3.06</v>
      </c>
      <c r="L15" s="5">
        <v>101.09</v>
      </c>
      <c r="M15" s="5">
        <v>88.3</v>
      </c>
      <c r="N15" s="5"/>
      <c r="O15" s="17"/>
      <c r="P15" s="10"/>
      <c r="Q15" s="10" t="s">
        <v>44</v>
      </c>
      <c r="R15" s="14">
        <v>30.970000000000002</v>
      </c>
      <c r="S15" s="4">
        <f t="shared" si="0"/>
        <v>30.970000000000002</v>
      </c>
      <c r="V15">
        <v>13</v>
      </c>
      <c r="W15">
        <v>0.9</v>
      </c>
    </row>
    <row r="16" spans="1:23" x14ac:dyDescent="0.25">
      <c r="A16" s="3">
        <v>14</v>
      </c>
      <c r="B16" s="5">
        <v>6.09</v>
      </c>
      <c r="C16" s="5">
        <v>112.83</v>
      </c>
      <c r="D16" s="5">
        <v>60.02</v>
      </c>
      <c r="E16" s="5">
        <v>40.07</v>
      </c>
      <c r="F16" s="5">
        <v>8.9499999999999993</v>
      </c>
      <c r="G16" s="5">
        <v>69.94</v>
      </c>
      <c r="H16" s="5">
        <v>-1.03</v>
      </c>
      <c r="I16" s="5">
        <v>22.98</v>
      </c>
      <c r="J16" s="5">
        <v>15.66</v>
      </c>
      <c r="K16" s="5">
        <v>-2.61</v>
      </c>
      <c r="L16" s="5">
        <v>106.27</v>
      </c>
      <c r="M16" s="5">
        <v>86.34</v>
      </c>
      <c r="N16" s="5"/>
      <c r="O16" s="17"/>
      <c r="P16" s="16">
        <f>O12/$O$29</f>
        <v>0.87353762186019601</v>
      </c>
      <c r="Q16" s="10" t="s">
        <v>44</v>
      </c>
      <c r="R16" s="14">
        <v>30.63</v>
      </c>
      <c r="S16" s="4">
        <f t="shared" si="0"/>
        <v>30.63</v>
      </c>
      <c r="V16">
        <v>14</v>
      </c>
      <c r="W16">
        <v>0.9</v>
      </c>
    </row>
    <row r="17" spans="1:23" x14ac:dyDescent="0.25">
      <c r="A17" s="2">
        <v>15</v>
      </c>
      <c r="B17" s="5">
        <v>19.100000000000001</v>
      </c>
      <c r="C17" s="5">
        <v>112.75</v>
      </c>
      <c r="D17" s="5">
        <v>91.65</v>
      </c>
      <c r="E17" s="5">
        <v>40.68</v>
      </c>
      <c r="F17" s="5">
        <v>11.92</v>
      </c>
      <c r="G17" s="5">
        <v>68</v>
      </c>
      <c r="H17" s="5">
        <v>-0.1</v>
      </c>
      <c r="I17" s="5">
        <v>23.16</v>
      </c>
      <c r="J17" s="5">
        <v>15.42</v>
      </c>
      <c r="K17" s="5">
        <v>-2.1</v>
      </c>
      <c r="L17" s="5">
        <v>121.21</v>
      </c>
      <c r="M17" s="5">
        <v>87.7</v>
      </c>
      <c r="N17" s="5"/>
      <c r="O17" s="17"/>
      <c r="P17" s="10"/>
      <c r="Q17" s="10" t="s">
        <v>44</v>
      </c>
      <c r="R17" s="14">
        <v>30.353333333333335</v>
      </c>
      <c r="S17" s="4">
        <f t="shared" si="0"/>
        <v>30.353333333333335</v>
      </c>
      <c r="V17">
        <v>15</v>
      </c>
      <c r="W17">
        <v>0.9</v>
      </c>
    </row>
    <row r="18" spans="1:23" x14ac:dyDescent="0.25">
      <c r="A18" s="2">
        <v>16</v>
      </c>
      <c r="B18" s="5">
        <v>27.43</v>
      </c>
      <c r="C18" s="5">
        <v>112.88</v>
      </c>
      <c r="D18" s="5">
        <v>101.05</v>
      </c>
      <c r="E18" s="5">
        <v>41.18</v>
      </c>
      <c r="F18" s="5">
        <v>39.97</v>
      </c>
      <c r="G18" s="5">
        <v>67.02</v>
      </c>
      <c r="H18" s="5">
        <v>1.77</v>
      </c>
      <c r="I18" s="5">
        <v>24.35</v>
      </c>
      <c r="J18" s="5">
        <v>16.100000000000001</v>
      </c>
      <c r="K18" s="5">
        <v>-1.1200000000000001</v>
      </c>
      <c r="L18" s="5">
        <v>122.96</v>
      </c>
      <c r="M18" s="5">
        <v>95.77</v>
      </c>
      <c r="N18" s="5"/>
      <c r="O18" s="17"/>
      <c r="P18" s="10"/>
      <c r="Q18" s="10" t="s">
        <v>44</v>
      </c>
      <c r="R18" s="14">
        <v>31.046666666666663</v>
      </c>
      <c r="S18" s="4">
        <f t="shared" si="0"/>
        <v>31.046666666666663</v>
      </c>
      <c r="V18">
        <v>16</v>
      </c>
      <c r="W18">
        <v>0.9</v>
      </c>
    </row>
    <row r="19" spans="1:23" x14ac:dyDescent="0.25">
      <c r="A19" s="3">
        <v>17</v>
      </c>
      <c r="B19" s="5">
        <v>30.9</v>
      </c>
      <c r="C19" s="5">
        <v>112.18</v>
      </c>
      <c r="D19" s="5">
        <v>108.07</v>
      </c>
      <c r="E19" s="5">
        <v>45.79</v>
      </c>
      <c r="F19" s="5">
        <v>73.55</v>
      </c>
      <c r="G19" s="5">
        <v>67.91</v>
      </c>
      <c r="H19" s="5">
        <v>20.9</v>
      </c>
      <c r="I19" s="5">
        <v>24.9</v>
      </c>
      <c r="J19" s="5">
        <v>16.79</v>
      </c>
      <c r="K19" s="5">
        <v>-0.03</v>
      </c>
      <c r="L19" s="5">
        <v>127.84</v>
      </c>
      <c r="M19" s="5">
        <v>92.65</v>
      </c>
      <c r="N19" s="5"/>
      <c r="O19" s="22">
        <f>AVERAGE(S19:S21)</f>
        <v>41.162222222222219</v>
      </c>
      <c r="P19" s="10"/>
      <c r="Q19" s="10" t="s">
        <v>46</v>
      </c>
      <c r="R19" s="14">
        <v>37.903333333333336</v>
      </c>
      <c r="S19" s="4">
        <f t="shared" si="0"/>
        <v>37.903333333333336</v>
      </c>
      <c r="V19">
        <v>17</v>
      </c>
      <c r="W19">
        <v>1.2</v>
      </c>
    </row>
    <row r="20" spans="1:23" x14ac:dyDescent="0.25">
      <c r="A20" s="2">
        <v>18</v>
      </c>
      <c r="B20" s="5">
        <v>27.61</v>
      </c>
      <c r="C20" s="5">
        <v>108.92</v>
      </c>
      <c r="D20" s="5">
        <v>111.23</v>
      </c>
      <c r="E20" s="5">
        <v>51.78</v>
      </c>
      <c r="F20" s="5">
        <v>80.3</v>
      </c>
      <c r="G20" s="5">
        <v>69.91</v>
      </c>
      <c r="H20" s="5">
        <v>35.51</v>
      </c>
      <c r="I20" s="5">
        <v>23.98</v>
      </c>
      <c r="J20" s="5">
        <v>15.55</v>
      </c>
      <c r="K20" s="5">
        <v>0</v>
      </c>
      <c r="L20" s="5">
        <v>129.9</v>
      </c>
      <c r="M20" s="5">
        <v>84.91</v>
      </c>
      <c r="N20" s="5"/>
      <c r="O20" s="17"/>
      <c r="P20" s="16">
        <f>O19/$O$29</f>
        <v>1.1572819346791412</v>
      </c>
      <c r="Q20" s="10" t="s">
        <v>46</v>
      </c>
      <c r="R20" s="14">
        <v>43.133333333333326</v>
      </c>
      <c r="S20" s="4">
        <f t="shared" si="0"/>
        <v>43.133333333333326</v>
      </c>
      <c r="V20">
        <v>18</v>
      </c>
      <c r="W20">
        <v>1.2</v>
      </c>
    </row>
    <row r="21" spans="1:23" x14ac:dyDescent="0.25">
      <c r="A21" s="3">
        <v>19</v>
      </c>
      <c r="B21" s="5">
        <v>25.9</v>
      </c>
      <c r="C21" s="5">
        <v>104.96</v>
      </c>
      <c r="D21" s="5">
        <v>109.53</v>
      </c>
      <c r="E21" s="5">
        <v>54.53</v>
      </c>
      <c r="F21" s="5">
        <v>82.8</v>
      </c>
      <c r="G21" s="5">
        <v>68.69</v>
      </c>
      <c r="H21" s="5">
        <v>35.79</v>
      </c>
      <c r="I21" s="5">
        <v>22.87</v>
      </c>
      <c r="J21" s="5">
        <v>13.33</v>
      </c>
      <c r="K21" s="5">
        <v>-0.01</v>
      </c>
      <c r="L21" s="5">
        <v>121.08</v>
      </c>
      <c r="M21" s="5">
        <v>79.599999999999994</v>
      </c>
      <c r="N21" s="5"/>
      <c r="O21" s="17"/>
      <c r="P21" s="10"/>
      <c r="Q21" s="10" t="s">
        <v>46</v>
      </c>
      <c r="R21" s="14">
        <v>42.449999999999996</v>
      </c>
      <c r="S21" s="4">
        <f t="shared" si="0"/>
        <v>42.449999999999996</v>
      </c>
      <c r="V21">
        <v>19</v>
      </c>
      <c r="W21">
        <v>1.2</v>
      </c>
    </row>
    <row r="22" spans="1:23" x14ac:dyDescent="0.25">
      <c r="A22" s="2">
        <v>20</v>
      </c>
      <c r="B22" s="5">
        <v>12.47</v>
      </c>
      <c r="C22" s="5">
        <v>73.739999999999995</v>
      </c>
      <c r="D22" s="5">
        <v>105.26</v>
      </c>
      <c r="E22" s="5">
        <v>52.31</v>
      </c>
      <c r="F22" s="5">
        <v>83.71</v>
      </c>
      <c r="G22" s="5">
        <v>63.62</v>
      </c>
      <c r="H22" s="5">
        <v>33.51</v>
      </c>
      <c r="I22" s="5">
        <v>24.35</v>
      </c>
      <c r="J22" s="5">
        <v>12.17</v>
      </c>
      <c r="K22" s="5">
        <v>-0.46</v>
      </c>
      <c r="L22" s="5">
        <v>109.9</v>
      </c>
      <c r="M22" s="5">
        <v>77.010000000000005</v>
      </c>
      <c r="N22" s="5"/>
      <c r="O22" s="22">
        <f>AVERAGE(S22:S23)</f>
        <v>39.298333333333332</v>
      </c>
      <c r="P22" s="10"/>
      <c r="Q22" s="10" t="s">
        <v>47</v>
      </c>
      <c r="R22" s="14">
        <v>40.493333333333332</v>
      </c>
      <c r="S22" s="4">
        <f t="shared" si="0"/>
        <v>40.493333333333332</v>
      </c>
      <c r="V22">
        <v>20</v>
      </c>
      <c r="W22">
        <v>1</v>
      </c>
    </row>
    <row r="23" spans="1:23" x14ac:dyDescent="0.25">
      <c r="A23" s="2">
        <v>21</v>
      </c>
      <c r="B23" s="5">
        <v>20.79</v>
      </c>
      <c r="C23" s="5">
        <v>66.17</v>
      </c>
      <c r="D23" s="5">
        <v>105.06</v>
      </c>
      <c r="E23" s="5">
        <v>50.01</v>
      </c>
      <c r="F23" s="5">
        <v>82.63</v>
      </c>
      <c r="G23" s="5">
        <v>60.47</v>
      </c>
      <c r="H23" s="5">
        <v>30.67</v>
      </c>
      <c r="I23" s="5">
        <v>23.17</v>
      </c>
      <c r="J23" s="5">
        <v>11.16</v>
      </c>
      <c r="K23" s="5">
        <v>-1.1000000000000001</v>
      </c>
      <c r="L23" s="5">
        <v>97.5</v>
      </c>
      <c r="M23" s="5">
        <v>75.7</v>
      </c>
      <c r="N23" s="5"/>
      <c r="O23" s="17"/>
      <c r="P23" s="16">
        <f>O22/$O$29</f>
        <v>1.1048784243021974</v>
      </c>
      <c r="Q23" s="16" t="s">
        <v>47</v>
      </c>
      <c r="R23" s="14">
        <v>38.103333333333332</v>
      </c>
      <c r="S23" s="4">
        <f t="shared" si="0"/>
        <v>38.103333333333332</v>
      </c>
      <c r="V23">
        <v>21</v>
      </c>
      <c r="W23">
        <v>1</v>
      </c>
    </row>
    <row r="24" spans="1:23" x14ac:dyDescent="0.25">
      <c r="A24" s="3">
        <v>22</v>
      </c>
      <c r="B24" s="5">
        <v>31.04</v>
      </c>
      <c r="C24" s="5">
        <v>58.34</v>
      </c>
      <c r="D24" s="5">
        <v>81.67</v>
      </c>
      <c r="E24" s="5">
        <v>46.89</v>
      </c>
      <c r="F24" s="5">
        <v>17.87</v>
      </c>
      <c r="G24" s="5">
        <v>56.84</v>
      </c>
      <c r="H24" s="5">
        <v>20.75</v>
      </c>
      <c r="I24" s="5">
        <v>18.989999999999998</v>
      </c>
      <c r="J24" s="5">
        <v>8.93</v>
      </c>
      <c r="K24" s="5">
        <v>-1.26</v>
      </c>
      <c r="L24" s="5">
        <v>91.66</v>
      </c>
      <c r="M24" s="5">
        <v>60.8</v>
      </c>
      <c r="N24" s="5"/>
      <c r="O24" s="20">
        <f>AVERAGE(S24:S25)</f>
        <v>30.306666666666665</v>
      </c>
      <c r="P24" s="9"/>
      <c r="Q24" s="16" t="s">
        <v>45</v>
      </c>
      <c r="R24" s="14">
        <v>32.193333333333335</v>
      </c>
      <c r="S24" s="4">
        <f t="shared" si="0"/>
        <v>32.193333333333335</v>
      </c>
      <c r="V24">
        <v>22</v>
      </c>
      <c r="W24">
        <v>0.8</v>
      </c>
    </row>
    <row r="25" spans="1:23" x14ac:dyDescent="0.25">
      <c r="A25" s="2">
        <v>23</v>
      </c>
      <c r="B25" s="5">
        <v>32.380000000000003</v>
      </c>
      <c r="C25" s="5">
        <v>49.59</v>
      </c>
      <c r="D25" s="5">
        <v>72.91</v>
      </c>
      <c r="E25" s="5">
        <v>43.66</v>
      </c>
      <c r="F25" s="5">
        <v>7.24</v>
      </c>
      <c r="G25" s="5">
        <v>51.48</v>
      </c>
      <c r="H25" s="5">
        <v>16.22</v>
      </c>
      <c r="I25" s="5">
        <v>17.559999999999999</v>
      </c>
      <c r="J25" s="5">
        <v>6.02</v>
      </c>
      <c r="K25" s="5">
        <v>-2.0699999999999998</v>
      </c>
      <c r="L25" s="5">
        <v>84.21</v>
      </c>
      <c r="M25" s="5">
        <v>69.47</v>
      </c>
      <c r="N25" s="5"/>
      <c r="O25" s="20"/>
      <c r="P25" s="16">
        <f>O24/$O$29</f>
        <v>0.85207639287124803</v>
      </c>
      <c r="Q25" s="16" t="s">
        <v>45</v>
      </c>
      <c r="R25" s="14">
        <v>28.419999999999998</v>
      </c>
      <c r="S25" s="4">
        <f t="shared" si="0"/>
        <v>28.419999999999998</v>
      </c>
      <c r="V25">
        <v>23</v>
      </c>
      <c r="W25">
        <v>0.8</v>
      </c>
    </row>
    <row r="26" spans="1:23" x14ac:dyDescent="0.25">
      <c r="A26" s="1"/>
    </row>
    <row r="27" spans="1:23" x14ac:dyDescent="0.25">
      <c r="A27" s="1"/>
    </row>
    <row r="28" spans="1:23" x14ac:dyDescent="0.25">
      <c r="A28" s="1"/>
      <c r="I28" t="s">
        <v>37</v>
      </c>
    </row>
    <row r="29" spans="1:23" x14ac:dyDescent="0.25">
      <c r="A29" s="1"/>
      <c r="I29" t="s">
        <v>39</v>
      </c>
      <c r="O29" s="5">
        <f>AVERAGE(O2:O25)</f>
        <v>35.568015873015881</v>
      </c>
      <c r="P29" s="5"/>
      <c r="Q29" s="5"/>
    </row>
    <row r="30" spans="1:23" x14ac:dyDescent="0.25">
      <c r="A30" s="1"/>
    </row>
    <row r="31" spans="1:23" x14ac:dyDescent="0.25">
      <c r="A31" s="1"/>
    </row>
    <row r="32" spans="1:23" x14ac:dyDescent="0.25">
      <c r="O32" s="15"/>
    </row>
  </sheetData>
  <mergeCells count="7">
    <mergeCell ref="O24:O25"/>
    <mergeCell ref="O2:O7"/>
    <mergeCell ref="O8:O9"/>
    <mergeCell ref="O10:O11"/>
    <mergeCell ref="O12:O18"/>
    <mergeCell ref="O19:O21"/>
    <mergeCell ref="O22:O23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6412FCB-BD47-42A4-A9D4-84E490358B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Summer!Q1:Q1</xm:f>
              <xm:sqref>A1</xm:sqref>
            </x14:sparkline>
            <x14:sparkline>
              <xm:f>Summer!Q2:Q2</xm:f>
              <xm:sqref>A2</xm:sqref>
            </x14:sparkline>
            <x14:sparkline>
              <xm:f>Summer!Q3:Q3</xm:f>
              <xm:sqref>A3</xm:sqref>
            </x14:sparkline>
            <x14:sparkline>
              <xm:f>Summer!Q4:Q4</xm:f>
              <xm:sqref>A4</xm:sqref>
            </x14:sparkline>
            <x14:sparkline>
              <xm:f>Summer!Q5:Q5</xm:f>
              <xm:sqref>A5</xm:sqref>
            </x14:sparkline>
            <x14:sparkline>
              <xm:f>Summer!Q6:Q6</xm:f>
              <xm:sqref>A6</xm:sqref>
            </x14:sparkline>
            <x14:sparkline>
              <xm:f>Summer!Q7:Q7</xm:f>
              <xm:sqref>A7</xm:sqref>
            </x14:sparkline>
            <x14:sparkline>
              <xm:f>Summer!Q8:Q8</xm:f>
              <xm:sqref>A8</xm:sqref>
            </x14:sparkline>
            <x14:sparkline>
              <xm:f>Summer!Q9:Q9</xm:f>
              <xm:sqref>A9</xm:sqref>
            </x14:sparkline>
            <x14:sparkline>
              <xm:f>Summer!Q10:Q10</xm:f>
              <xm:sqref>A10</xm:sqref>
            </x14:sparkline>
            <x14:sparkline>
              <xm:f>Summer!Q11:Q11</xm:f>
              <xm:sqref>A11</xm:sqref>
            </x14:sparkline>
            <x14:sparkline>
              <xm:f>Summer!Q12:Q12</xm:f>
              <xm:sqref>A12</xm:sqref>
            </x14:sparkline>
            <x14:sparkline>
              <xm:f>Summer!Q13:Q13</xm:f>
              <xm:sqref>A13</xm:sqref>
            </x14:sparkline>
            <x14:sparkline>
              <xm:f>Summer!Q14:Q14</xm:f>
              <xm:sqref>A14</xm:sqref>
            </x14:sparkline>
            <x14:sparkline>
              <xm:f>Summer!Q15:Q15</xm:f>
              <xm:sqref>A15</xm:sqref>
            </x14:sparkline>
            <x14:sparkline>
              <xm:f>Summer!Q16:Q16</xm:f>
              <xm:sqref>A16</xm:sqref>
            </x14:sparkline>
            <x14:sparkline>
              <xm:f>Summer!Q17:Q17</xm:f>
              <xm:sqref>A17</xm:sqref>
            </x14:sparkline>
            <x14:sparkline>
              <xm:f>Summer!Q18:Q18</xm:f>
              <xm:sqref>A18</xm:sqref>
            </x14:sparkline>
            <x14:sparkline>
              <xm:f>Summer!Q19:Q19</xm:f>
              <xm:sqref>A19</xm:sqref>
            </x14:sparkline>
            <x14:sparkline>
              <xm:f>Summer!Q20:Q20</xm:f>
              <xm:sqref>A20</xm:sqref>
            </x14:sparkline>
            <x14:sparkline>
              <xm:f>Summer!Q21:Q21</xm:f>
              <xm:sqref>A21</xm:sqref>
            </x14:sparkline>
            <x14:sparkline>
              <xm:f>Summer!Q22:Q22</xm:f>
              <xm:sqref>A22</xm:sqref>
            </x14:sparkline>
            <x14:sparkline>
              <xm:f>Summer!Q23:Q23</xm:f>
              <xm:sqref>A23</xm:sqref>
            </x14:sparkline>
            <x14:sparkline>
              <xm:f>Summer!Q24:Q24</xm:f>
              <xm:sqref>A24</xm:sqref>
            </x14:sparkline>
            <x14:sparkline>
              <xm:f>Summer!Q25:Q25</xm:f>
              <xm:sqref>A25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DF58-1897-4FC7-8863-F6C066E63439}">
  <dimension ref="A1:W32"/>
  <sheetViews>
    <sheetView zoomScaleNormal="100" workbookViewId="0">
      <selection activeCell="W1" sqref="W1:W25"/>
    </sheetView>
  </sheetViews>
  <sheetFormatPr defaultRowHeight="15" x14ac:dyDescent="0.25"/>
  <cols>
    <col min="2" max="3" width="0" hidden="1" customWidth="1"/>
    <col min="4" max="9" width="8.85546875" hidden="1" customWidth="1"/>
    <col min="10" max="12" width="8.85546875" customWidth="1"/>
    <col min="13" max="13" width="0" hidden="1" customWidth="1"/>
    <col min="18" max="18" width="0" hidden="1" customWidth="1"/>
  </cols>
  <sheetData>
    <row r="1" spans="1:23" x14ac:dyDescent="0.25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O1" s="1"/>
      <c r="P1" s="1" t="s">
        <v>38</v>
      </c>
      <c r="Q1" s="1" t="s">
        <v>43</v>
      </c>
      <c r="R1" s="1" t="s">
        <v>36</v>
      </c>
      <c r="S1" s="1" t="s">
        <v>36</v>
      </c>
      <c r="V1" t="s">
        <v>48</v>
      </c>
      <c r="W1" s="1" t="s">
        <v>51</v>
      </c>
    </row>
    <row r="2" spans="1:23" x14ac:dyDescent="0.25">
      <c r="A2" s="6" t="s">
        <v>0</v>
      </c>
      <c r="B2" s="5">
        <v>27.4</v>
      </c>
      <c r="C2" s="5">
        <v>72.17</v>
      </c>
      <c r="D2" s="5">
        <v>59.83</v>
      </c>
      <c r="E2" s="5">
        <v>28.21</v>
      </c>
      <c r="F2" s="5">
        <v>4.6500000000000004</v>
      </c>
      <c r="G2" s="5">
        <v>52.65</v>
      </c>
      <c r="H2" s="5">
        <v>37.340000000000003</v>
      </c>
      <c r="I2" s="5">
        <v>17.04</v>
      </c>
      <c r="J2" s="5">
        <v>14.49</v>
      </c>
      <c r="K2" s="5">
        <v>-4.37</v>
      </c>
      <c r="L2" s="5">
        <v>81.099999999999994</v>
      </c>
      <c r="M2" s="5">
        <v>86.13</v>
      </c>
      <c r="N2" s="5"/>
      <c r="O2" s="23">
        <f>AVERAGE(S2:S7)</f>
        <v>28.302222222222223</v>
      </c>
      <c r="P2" s="16"/>
      <c r="Q2" s="16">
        <v>0.6</v>
      </c>
      <c r="R2" s="14">
        <v>61.9</v>
      </c>
      <c r="S2" s="4">
        <f>AVERAGE(J2:L2)</f>
        <v>30.406666666666666</v>
      </c>
      <c r="V2">
        <v>0</v>
      </c>
      <c r="W2" s="16">
        <v>0.6</v>
      </c>
    </row>
    <row r="3" spans="1:23" x14ac:dyDescent="0.25">
      <c r="A3" s="7" t="s">
        <v>1</v>
      </c>
      <c r="B3" s="5">
        <v>27.23</v>
      </c>
      <c r="C3" s="5">
        <v>69.290000000000006</v>
      </c>
      <c r="D3" s="5">
        <v>56.95</v>
      </c>
      <c r="E3" s="5">
        <v>28.15</v>
      </c>
      <c r="F3" s="5">
        <v>4.63</v>
      </c>
      <c r="G3" s="5">
        <v>48.47</v>
      </c>
      <c r="H3" s="5">
        <v>36.57</v>
      </c>
      <c r="I3" s="5">
        <v>16</v>
      </c>
      <c r="J3" s="5">
        <v>13.91</v>
      </c>
      <c r="K3" s="5">
        <v>-4.4000000000000004</v>
      </c>
      <c r="L3" s="5">
        <v>76.42</v>
      </c>
      <c r="M3" s="5">
        <v>82.93</v>
      </c>
      <c r="N3" s="5"/>
      <c r="O3" s="23"/>
      <c r="P3" s="16"/>
      <c r="Q3" s="16">
        <v>0.6</v>
      </c>
      <c r="R3" s="14">
        <v>59.81666666666667</v>
      </c>
      <c r="S3" s="4">
        <f t="shared" ref="S3:S25" si="0">AVERAGE(J3:L3)</f>
        <v>28.643333333333334</v>
      </c>
      <c r="V3">
        <v>1</v>
      </c>
      <c r="W3" s="16">
        <v>0.6</v>
      </c>
    </row>
    <row r="4" spans="1:23" x14ac:dyDescent="0.25">
      <c r="A4" s="6" t="s">
        <v>2</v>
      </c>
      <c r="B4" s="5">
        <v>24.28</v>
      </c>
      <c r="C4" s="5">
        <v>66.94</v>
      </c>
      <c r="D4" s="5">
        <v>56.94</v>
      </c>
      <c r="E4" s="5">
        <v>28.59</v>
      </c>
      <c r="F4" s="5">
        <v>4.8</v>
      </c>
      <c r="G4" s="5">
        <v>48.34</v>
      </c>
      <c r="H4" s="5">
        <v>29.15</v>
      </c>
      <c r="I4" s="5">
        <v>14.89</v>
      </c>
      <c r="J4" s="5">
        <v>13.19</v>
      </c>
      <c r="K4" s="5">
        <v>-4.43</v>
      </c>
      <c r="L4" s="5">
        <v>72.900000000000006</v>
      </c>
      <c r="M4" s="5">
        <v>80.099999999999994</v>
      </c>
      <c r="N4" s="5"/>
      <c r="O4" s="23"/>
      <c r="P4" s="16">
        <f>O2/$O$29</f>
        <v>0.65451345208180978</v>
      </c>
      <c r="Q4" s="16">
        <v>0.6</v>
      </c>
      <c r="R4" s="14">
        <v>57.106666666666662</v>
      </c>
      <c r="S4" s="4">
        <f t="shared" si="0"/>
        <v>27.220000000000002</v>
      </c>
      <c r="V4">
        <v>2</v>
      </c>
      <c r="W4" s="16">
        <v>0.6</v>
      </c>
    </row>
    <row r="5" spans="1:23" x14ac:dyDescent="0.25">
      <c r="A5" s="7" t="s">
        <v>3</v>
      </c>
      <c r="B5" s="5">
        <v>13</v>
      </c>
      <c r="C5" s="5">
        <v>67.78</v>
      </c>
      <c r="D5" s="5">
        <v>56.97</v>
      </c>
      <c r="E5" s="5">
        <v>29.92</v>
      </c>
      <c r="F5" s="5">
        <v>5.0999999999999996</v>
      </c>
      <c r="G5" s="5">
        <v>50.26</v>
      </c>
      <c r="H5" s="5">
        <v>19.95</v>
      </c>
      <c r="I5" s="5">
        <v>15.18</v>
      </c>
      <c r="J5" s="5">
        <v>12.47</v>
      </c>
      <c r="K5" s="5">
        <v>-4.3499999999999996</v>
      </c>
      <c r="L5" s="5">
        <v>70.69</v>
      </c>
      <c r="M5" s="5">
        <v>76.55</v>
      </c>
      <c r="N5" s="5"/>
      <c r="O5" s="23"/>
      <c r="P5" s="16"/>
      <c r="Q5" s="16">
        <v>0.6</v>
      </c>
      <c r="R5" s="14">
        <v>52.443333333333328</v>
      </c>
      <c r="S5" s="4">
        <f t="shared" si="0"/>
        <v>26.27</v>
      </c>
      <c r="V5">
        <v>3</v>
      </c>
      <c r="W5" s="16">
        <v>0.6</v>
      </c>
    </row>
    <row r="6" spans="1:23" x14ac:dyDescent="0.25">
      <c r="A6" s="6" t="s">
        <v>4</v>
      </c>
      <c r="B6" s="5">
        <v>7.98</v>
      </c>
      <c r="C6" s="5">
        <v>72.17</v>
      </c>
      <c r="D6" s="5">
        <v>54.97</v>
      </c>
      <c r="E6" s="5">
        <v>32.32</v>
      </c>
      <c r="F6" s="5">
        <v>5.28</v>
      </c>
      <c r="G6" s="5">
        <v>51.87</v>
      </c>
      <c r="H6" s="5">
        <v>16.98</v>
      </c>
      <c r="I6" s="5">
        <v>15.31</v>
      </c>
      <c r="J6" s="5">
        <v>12.5</v>
      </c>
      <c r="K6" s="5">
        <v>-4.33</v>
      </c>
      <c r="L6" s="5">
        <v>74.45</v>
      </c>
      <c r="M6" s="5">
        <v>75.16</v>
      </c>
      <c r="N6" s="5"/>
      <c r="O6" s="23"/>
      <c r="P6" s="16"/>
      <c r="Q6" s="16">
        <v>0.6</v>
      </c>
      <c r="R6" s="14">
        <v>51.77</v>
      </c>
      <c r="S6" s="4">
        <f t="shared" si="0"/>
        <v>27.540000000000003</v>
      </c>
      <c r="V6">
        <v>4</v>
      </c>
      <c r="W6" s="16">
        <v>0.6</v>
      </c>
    </row>
    <row r="7" spans="1:23" x14ac:dyDescent="0.25">
      <c r="A7" s="7" t="s">
        <v>5</v>
      </c>
      <c r="B7" s="5">
        <v>4.8499999999999996</v>
      </c>
      <c r="C7" s="5">
        <v>69.290000000000006</v>
      </c>
      <c r="D7" s="5">
        <v>57.23</v>
      </c>
      <c r="E7" s="5">
        <v>38.01</v>
      </c>
      <c r="F7" s="5">
        <v>6.69</v>
      </c>
      <c r="G7" s="5">
        <v>58.5</v>
      </c>
      <c r="H7" s="5">
        <v>13.69</v>
      </c>
      <c r="I7" s="5">
        <v>17.350000000000001</v>
      </c>
      <c r="J7" s="5">
        <v>12.49</v>
      </c>
      <c r="K7" s="5">
        <v>-3.97</v>
      </c>
      <c r="L7" s="5">
        <v>80.680000000000007</v>
      </c>
      <c r="M7" s="5">
        <v>80.41</v>
      </c>
      <c r="N7" s="5"/>
      <c r="O7" s="23"/>
      <c r="Q7" s="16">
        <v>0.6</v>
      </c>
      <c r="R7" s="14">
        <v>51.516666666666673</v>
      </c>
      <c r="S7" s="4">
        <f t="shared" si="0"/>
        <v>29.733333333333334</v>
      </c>
      <c r="V7">
        <v>5</v>
      </c>
      <c r="W7" s="16">
        <v>0.6</v>
      </c>
    </row>
    <row r="8" spans="1:23" x14ac:dyDescent="0.25">
      <c r="A8" s="2" t="s">
        <v>6</v>
      </c>
      <c r="B8" s="5">
        <v>6.05</v>
      </c>
      <c r="C8" s="5">
        <v>109.05</v>
      </c>
      <c r="D8" s="5">
        <v>112.86</v>
      </c>
      <c r="E8" s="5">
        <v>39.11</v>
      </c>
      <c r="F8" s="5">
        <v>14.51</v>
      </c>
      <c r="G8" s="5">
        <v>60.69</v>
      </c>
      <c r="H8" s="5">
        <v>19.899999999999999</v>
      </c>
      <c r="I8" s="5">
        <v>19.170000000000002</v>
      </c>
      <c r="J8" s="5">
        <v>13.93</v>
      </c>
      <c r="K8" s="5">
        <v>-3.32</v>
      </c>
      <c r="L8" s="5">
        <v>98.69</v>
      </c>
      <c r="M8" s="5">
        <v>95.97</v>
      </c>
      <c r="N8" s="5"/>
      <c r="O8" s="20">
        <f>AVERAGE(S8:S9)</f>
        <v>42.908333333333331</v>
      </c>
      <c r="P8" s="9"/>
      <c r="Q8" s="9">
        <v>1</v>
      </c>
      <c r="R8" s="14">
        <v>70.356666666666669</v>
      </c>
      <c r="S8" s="4">
        <f t="shared" si="0"/>
        <v>36.43333333333333</v>
      </c>
      <c r="V8">
        <v>6</v>
      </c>
      <c r="W8" s="9">
        <v>1</v>
      </c>
    </row>
    <row r="9" spans="1:23" x14ac:dyDescent="0.25">
      <c r="A9" s="3" t="s">
        <v>7</v>
      </c>
      <c r="B9" s="5">
        <v>10.09</v>
      </c>
      <c r="C9" s="5">
        <v>112.97</v>
      </c>
      <c r="D9" s="5">
        <v>136.33000000000001</v>
      </c>
      <c r="E9" s="5">
        <v>41.17</v>
      </c>
      <c r="F9" s="5">
        <v>92.26</v>
      </c>
      <c r="G9" s="5">
        <v>67.459999999999994</v>
      </c>
      <c r="H9" s="5">
        <v>22.6</v>
      </c>
      <c r="I9" s="5">
        <v>22.86</v>
      </c>
      <c r="J9" s="5">
        <v>28.97</v>
      </c>
      <c r="K9" s="5">
        <v>-3.01</v>
      </c>
      <c r="L9" s="5">
        <v>122.19</v>
      </c>
      <c r="M9" s="5">
        <v>106.95</v>
      </c>
      <c r="N9" s="5"/>
      <c r="O9" s="20"/>
      <c r="P9" s="16">
        <f>O8/$O$29</f>
        <v>0.99229244801229932</v>
      </c>
      <c r="Q9" s="9">
        <v>1</v>
      </c>
      <c r="R9" s="14">
        <v>76.67</v>
      </c>
      <c r="S9" s="4">
        <f t="shared" si="0"/>
        <v>49.383333333333333</v>
      </c>
      <c r="V9">
        <v>7</v>
      </c>
      <c r="W9" s="9">
        <v>1</v>
      </c>
    </row>
    <row r="10" spans="1:23" x14ac:dyDescent="0.25">
      <c r="A10" s="2" t="s">
        <v>8</v>
      </c>
      <c r="B10" s="5">
        <v>14.03</v>
      </c>
      <c r="C10" s="5">
        <v>182.72</v>
      </c>
      <c r="D10" s="5">
        <v>148.68</v>
      </c>
      <c r="E10" s="5">
        <v>50.05</v>
      </c>
      <c r="F10" s="5">
        <v>94.13</v>
      </c>
      <c r="G10" s="5">
        <v>72.260000000000005</v>
      </c>
      <c r="H10" s="5">
        <v>29.87</v>
      </c>
      <c r="I10" s="5">
        <v>26.26</v>
      </c>
      <c r="J10" s="5">
        <v>125.07</v>
      </c>
      <c r="K10" s="5">
        <v>-2.61</v>
      </c>
      <c r="L10" s="5">
        <v>128.59</v>
      </c>
      <c r="M10" s="5">
        <v>121.5</v>
      </c>
      <c r="N10" s="5"/>
      <c r="O10" s="22">
        <f>AVERAGE(S10:S12)</f>
        <v>70.37777777777778</v>
      </c>
      <c r="P10" s="10"/>
      <c r="Q10" s="9">
        <v>1.6</v>
      </c>
      <c r="R10" s="14">
        <v>106.08333333333333</v>
      </c>
      <c r="S10" s="4">
        <f t="shared" si="0"/>
        <v>83.683333333333337</v>
      </c>
      <c r="V10">
        <v>8</v>
      </c>
      <c r="W10" s="9">
        <v>1.6</v>
      </c>
    </row>
    <row r="11" spans="1:23" x14ac:dyDescent="0.25">
      <c r="A11" s="3" t="s">
        <v>9</v>
      </c>
      <c r="B11" s="5">
        <v>19.07</v>
      </c>
      <c r="C11" s="5">
        <v>150.97999999999999</v>
      </c>
      <c r="D11" s="5">
        <v>111.63</v>
      </c>
      <c r="E11" s="5">
        <v>50.02</v>
      </c>
      <c r="F11" s="5">
        <v>87.33</v>
      </c>
      <c r="G11" s="5">
        <v>69.900000000000006</v>
      </c>
      <c r="H11" s="5">
        <v>17.41</v>
      </c>
      <c r="I11" s="5">
        <v>27.94</v>
      </c>
      <c r="J11" s="5">
        <v>104.38</v>
      </c>
      <c r="K11" s="5">
        <v>-3.03</v>
      </c>
      <c r="L11" s="5">
        <v>121.29</v>
      </c>
      <c r="M11" s="5">
        <v>117.44</v>
      </c>
      <c r="N11" s="5"/>
      <c r="O11" s="22"/>
      <c r="P11" s="16">
        <f>O10/$O$29</f>
        <v>1.6275471912241612</v>
      </c>
      <c r="Q11" s="9">
        <v>1.6</v>
      </c>
      <c r="R11" s="14">
        <v>95.83</v>
      </c>
      <c r="S11" s="4">
        <f t="shared" si="0"/>
        <v>74.213333333333324</v>
      </c>
      <c r="V11">
        <v>9</v>
      </c>
      <c r="W11" s="9">
        <v>1.6</v>
      </c>
    </row>
    <row r="12" spans="1:23" x14ac:dyDescent="0.25">
      <c r="A12" s="2" t="s">
        <v>10</v>
      </c>
      <c r="B12" s="5">
        <v>17.829999999999998</v>
      </c>
      <c r="C12" s="5">
        <v>128.66999999999999</v>
      </c>
      <c r="D12" s="5">
        <v>103.27</v>
      </c>
      <c r="E12" s="5">
        <v>43.93</v>
      </c>
      <c r="F12" s="5">
        <v>52.98</v>
      </c>
      <c r="G12" s="5">
        <v>68.540000000000006</v>
      </c>
      <c r="H12" s="5">
        <v>4.6900000000000004</v>
      </c>
      <c r="I12" s="5">
        <v>25.97</v>
      </c>
      <c r="J12" s="5">
        <v>49.94</v>
      </c>
      <c r="K12" s="5">
        <v>-3.01</v>
      </c>
      <c r="L12" s="5">
        <v>112.78</v>
      </c>
      <c r="M12" s="5">
        <v>109.97</v>
      </c>
      <c r="N12" s="5"/>
      <c r="O12" s="22"/>
      <c r="P12" s="10"/>
      <c r="Q12" s="9">
        <v>1.6</v>
      </c>
      <c r="R12" s="14">
        <v>85.490000000000009</v>
      </c>
      <c r="S12" s="4">
        <f t="shared" si="0"/>
        <v>53.236666666666672</v>
      </c>
      <c r="V12">
        <v>10</v>
      </c>
      <c r="W12" s="9">
        <v>1.6</v>
      </c>
    </row>
    <row r="13" spans="1:23" x14ac:dyDescent="0.25">
      <c r="A13" s="3" t="s">
        <v>11</v>
      </c>
      <c r="B13" s="5">
        <v>11.7</v>
      </c>
      <c r="C13" s="5">
        <v>114.74</v>
      </c>
      <c r="D13" s="5">
        <v>60.06</v>
      </c>
      <c r="E13" s="5">
        <v>41.4</v>
      </c>
      <c r="F13" s="5">
        <v>30.45</v>
      </c>
      <c r="G13" s="5">
        <v>67.73</v>
      </c>
      <c r="H13" s="5">
        <v>0.02</v>
      </c>
      <c r="I13" s="5">
        <v>24.59</v>
      </c>
      <c r="J13" s="5">
        <v>28.96</v>
      </c>
      <c r="K13" s="5">
        <v>-3.04</v>
      </c>
      <c r="L13" s="5">
        <v>99.84</v>
      </c>
      <c r="M13" s="5">
        <v>102.75</v>
      </c>
      <c r="N13" s="5"/>
      <c r="O13" s="22">
        <f>AVERAGE(S13:S16)</f>
        <v>39.604166666666671</v>
      </c>
      <c r="P13" s="10"/>
      <c r="Q13" s="9">
        <v>0.9</v>
      </c>
      <c r="R13" s="14">
        <v>76.396666666666661</v>
      </c>
      <c r="S13" s="4">
        <f t="shared" si="0"/>
        <v>41.92</v>
      </c>
      <c r="V13">
        <v>11</v>
      </c>
      <c r="W13" s="9">
        <v>0.9</v>
      </c>
    </row>
    <row r="14" spans="1:23" x14ac:dyDescent="0.25">
      <c r="A14" s="2" t="s">
        <v>12</v>
      </c>
      <c r="B14" s="5">
        <v>6.93</v>
      </c>
      <c r="C14" s="5">
        <v>113.52</v>
      </c>
      <c r="D14" s="5">
        <v>53.13</v>
      </c>
      <c r="E14" s="5">
        <v>40.549999999999997</v>
      </c>
      <c r="F14" s="5">
        <v>14.94</v>
      </c>
      <c r="G14" s="5">
        <v>68.069999999999993</v>
      </c>
      <c r="H14" s="5">
        <v>0.01</v>
      </c>
      <c r="I14" s="5">
        <v>23.85</v>
      </c>
      <c r="J14" s="5">
        <v>21.98</v>
      </c>
      <c r="K14" s="5">
        <v>-3.07</v>
      </c>
      <c r="L14" s="5">
        <v>97.36</v>
      </c>
      <c r="M14" s="5">
        <v>94.13</v>
      </c>
      <c r="N14" s="5"/>
      <c r="O14" s="22"/>
      <c r="P14" s="10"/>
      <c r="Q14" s="10">
        <v>0.9</v>
      </c>
      <c r="R14" s="14">
        <v>71.526666666666657</v>
      </c>
      <c r="S14" s="4">
        <f t="shared" si="0"/>
        <v>38.756666666666668</v>
      </c>
      <c r="V14">
        <v>12</v>
      </c>
      <c r="W14" s="10">
        <v>0.9</v>
      </c>
    </row>
    <row r="15" spans="1:23" x14ac:dyDescent="0.25">
      <c r="A15" s="3" t="s">
        <v>13</v>
      </c>
      <c r="B15" s="5">
        <v>6.04</v>
      </c>
      <c r="C15" s="5">
        <v>112.87</v>
      </c>
      <c r="D15" s="5">
        <v>50.77</v>
      </c>
      <c r="E15" s="5">
        <v>40.01</v>
      </c>
      <c r="F15" s="5">
        <v>11.62</v>
      </c>
      <c r="G15" s="5">
        <v>70.150000000000006</v>
      </c>
      <c r="H15" s="5">
        <v>-0.13</v>
      </c>
      <c r="I15" s="5">
        <v>22.89</v>
      </c>
      <c r="J15" s="5">
        <v>15.87</v>
      </c>
      <c r="K15" s="5">
        <v>-3.06</v>
      </c>
      <c r="L15" s="5">
        <v>101.09</v>
      </c>
      <c r="M15" s="5">
        <v>88.3</v>
      </c>
      <c r="N15" s="5"/>
      <c r="O15" s="22"/>
      <c r="P15" s="10"/>
      <c r="Q15" s="10">
        <v>0.9</v>
      </c>
      <c r="R15" s="14">
        <v>69.070000000000007</v>
      </c>
      <c r="S15" s="4">
        <f t="shared" si="0"/>
        <v>37.966666666666669</v>
      </c>
      <c r="V15">
        <v>13</v>
      </c>
      <c r="W15" s="10">
        <v>0.9</v>
      </c>
    </row>
    <row r="16" spans="1:23" x14ac:dyDescent="0.25">
      <c r="A16" s="2" t="s">
        <v>14</v>
      </c>
      <c r="B16" s="5">
        <v>6.09</v>
      </c>
      <c r="C16" s="5">
        <v>112.83</v>
      </c>
      <c r="D16" s="5">
        <v>60.02</v>
      </c>
      <c r="E16" s="5">
        <v>40.07</v>
      </c>
      <c r="F16" s="5">
        <v>8.9499999999999993</v>
      </c>
      <c r="G16" s="5">
        <v>69.94</v>
      </c>
      <c r="H16" s="5">
        <v>-1.03</v>
      </c>
      <c r="I16" s="5">
        <v>22.98</v>
      </c>
      <c r="J16" s="5">
        <v>15.66</v>
      </c>
      <c r="K16" s="5">
        <v>-2.61</v>
      </c>
      <c r="L16" s="5">
        <v>106.27</v>
      </c>
      <c r="M16" s="5">
        <v>86.34</v>
      </c>
      <c r="N16" s="5"/>
      <c r="O16" s="22"/>
      <c r="P16" s="16">
        <f>O13/$O$29</f>
        <v>0.91588072619507732</v>
      </c>
      <c r="Q16" s="10">
        <v>0.9</v>
      </c>
      <c r="R16" s="14">
        <v>68.42</v>
      </c>
      <c r="S16" s="4">
        <f t="shared" si="0"/>
        <v>39.773333333333333</v>
      </c>
      <c r="V16">
        <v>14</v>
      </c>
      <c r="W16" s="10">
        <v>0.9</v>
      </c>
    </row>
    <row r="17" spans="1:23" x14ac:dyDescent="0.25">
      <c r="A17" s="3" t="s">
        <v>15</v>
      </c>
      <c r="B17" s="5">
        <v>19.100000000000001</v>
      </c>
      <c r="C17" s="5">
        <v>112.75</v>
      </c>
      <c r="D17" s="5">
        <v>91.65</v>
      </c>
      <c r="E17" s="5">
        <v>40.68</v>
      </c>
      <c r="F17" s="5">
        <v>11.92</v>
      </c>
      <c r="G17" s="5">
        <v>68</v>
      </c>
      <c r="H17" s="5">
        <v>-0.1</v>
      </c>
      <c r="I17" s="5">
        <v>23.16</v>
      </c>
      <c r="J17" s="5">
        <v>15.42</v>
      </c>
      <c r="K17" s="5">
        <v>-2.1</v>
      </c>
      <c r="L17" s="5">
        <v>121.21</v>
      </c>
      <c r="M17" s="5">
        <v>87.7</v>
      </c>
      <c r="N17" s="5"/>
      <c r="O17" s="22">
        <f>AVERAGE(S17:S22)</f>
        <v>45.473888888888894</v>
      </c>
      <c r="P17" s="10"/>
      <c r="Q17" s="10">
        <v>1</v>
      </c>
      <c r="R17" s="14">
        <v>73.183333333333337</v>
      </c>
      <c r="S17" s="4">
        <f t="shared" si="0"/>
        <v>44.843333333333334</v>
      </c>
      <c r="V17">
        <v>15</v>
      </c>
      <c r="W17" s="10">
        <v>1</v>
      </c>
    </row>
    <row r="18" spans="1:23" x14ac:dyDescent="0.25">
      <c r="A18" s="2" t="s">
        <v>16</v>
      </c>
      <c r="B18" s="5">
        <v>27.43</v>
      </c>
      <c r="C18" s="5">
        <v>112.88</v>
      </c>
      <c r="D18" s="5">
        <v>101.05</v>
      </c>
      <c r="E18" s="5">
        <v>41.18</v>
      </c>
      <c r="F18" s="5">
        <v>39.97</v>
      </c>
      <c r="G18" s="5">
        <v>67.02</v>
      </c>
      <c r="H18" s="5">
        <v>1.77</v>
      </c>
      <c r="I18" s="5">
        <v>24.35</v>
      </c>
      <c r="J18" s="5">
        <v>16.100000000000001</v>
      </c>
      <c r="K18" s="5">
        <v>-1.1200000000000001</v>
      </c>
      <c r="L18" s="5">
        <v>122.96</v>
      </c>
      <c r="M18" s="5">
        <v>95.77</v>
      </c>
      <c r="N18" s="5"/>
      <c r="O18" s="22"/>
      <c r="P18" s="10"/>
      <c r="Q18" s="10">
        <v>1</v>
      </c>
      <c r="R18" s="14">
        <v>78.693333333333328</v>
      </c>
      <c r="S18" s="4">
        <f t="shared" si="0"/>
        <v>45.98</v>
      </c>
      <c r="V18">
        <v>16</v>
      </c>
      <c r="W18" s="10">
        <v>1</v>
      </c>
    </row>
    <row r="19" spans="1:23" x14ac:dyDescent="0.25">
      <c r="A19" s="3" t="s">
        <v>17</v>
      </c>
      <c r="B19" s="5">
        <v>30.9</v>
      </c>
      <c r="C19" s="5">
        <v>112.18</v>
      </c>
      <c r="D19" s="5">
        <v>108.07</v>
      </c>
      <c r="E19" s="5">
        <v>45.79</v>
      </c>
      <c r="F19" s="5">
        <v>73.55</v>
      </c>
      <c r="G19" s="5">
        <v>67.91</v>
      </c>
      <c r="H19" s="5">
        <v>20.9</v>
      </c>
      <c r="I19" s="5">
        <v>24.9</v>
      </c>
      <c r="J19" s="5">
        <v>16.79</v>
      </c>
      <c r="K19" s="5">
        <v>-0.03</v>
      </c>
      <c r="L19" s="5">
        <v>127.84</v>
      </c>
      <c r="M19" s="5">
        <v>92.65</v>
      </c>
      <c r="N19" s="5"/>
      <c r="O19" s="22"/>
      <c r="P19" s="10"/>
      <c r="Q19" s="10">
        <v>1</v>
      </c>
      <c r="R19" s="14">
        <v>78.576666666666668</v>
      </c>
      <c r="S19" s="4">
        <f t="shared" si="0"/>
        <v>48.199999999999996</v>
      </c>
      <c r="V19">
        <v>17</v>
      </c>
      <c r="W19" s="10">
        <v>1</v>
      </c>
    </row>
    <row r="20" spans="1:23" x14ac:dyDescent="0.25">
      <c r="A20" s="2" t="s">
        <v>18</v>
      </c>
      <c r="B20" s="5">
        <v>27.61</v>
      </c>
      <c r="C20" s="5">
        <v>108.92</v>
      </c>
      <c r="D20" s="5">
        <v>111.23</v>
      </c>
      <c r="E20" s="5">
        <v>51.78</v>
      </c>
      <c r="F20" s="5">
        <v>80.3</v>
      </c>
      <c r="G20" s="5">
        <v>69.91</v>
      </c>
      <c r="H20" s="5">
        <v>35.51</v>
      </c>
      <c r="I20" s="5">
        <v>23.98</v>
      </c>
      <c r="J20" s="5">
        <v>15.55</v>
      </c>
      <c r="K20" s="5">
        <v>0</v>
      </c>
      <c r="L20" s="5">
        <v>129.9</v>
      </c>
      <c r="M20" s="5">
        <v>84.91</v>
      </c>
      <c r="N20" s="5"/>
      <c r="O20" s="22"/>
      <c r="P20" s="16">
        <f>O17/$O$29</f>
        <v>1.051623146852473</v>
      </c>
      <c r="Q20" s="10">
        <v>1</v>
      </c>
      <c r="R20" s="14">
        <v>73.813333333333333</v>
      </c>
      <c r="S20" s="4">
        <f t="shared" si="0"/>
        <v>48.483333333333341</v>
      </c>
      <c r="V20">
        <v>18</v>
      </c>
      <c r="W20" s="10">
        <v>1</v>
      </c>
    </row>
    <row r="21" spans="1:23" x14ac:dyDescent="0.25">
      <c r="A21" s="3" t="s">
        <v>19</v>
      </c>
      <c r="B21" s="5">
        <v>25.9</v>
      </c>
      <c r="C21" s="5">
        <v>104.96</v>
      </c>
      <c r="D21" s="5">
        <v>109.53</v>
      </c>
      <c r="E21" s="5">
        <v>54.53</v>
      </c>
      <c r="F21" s="5">
        <v>82.8</v>
      </c>
      <c r="G21" s="5">
        <v>68.69</v>
      </c>
      <c r="H21" s="5">
        <v>35.79</v>
      </c>
      <c r="I21" s="5">
        <v>22.87</v>
      </c>
      <c r="J21" s="5">
        <v>13.33</v>
      </c>
      <c r="K21" s="5">
        <v>-0.01</v>
      </c>
      <c r="L21" s="5">
        <v>121.08</v>
      </c>
      <c r="M21" s="5">
        <v>79.599999999999994</v>
      </c>
      <c r="N21" s="5"/>
      <c r="O21" s="22"/>
      <c r="P21" s="10"/>
      <c r="Q21" s="10">
        <v>1</v>
      </c>
      <c r="R21" s="14">
        <v>70.153333333333322</v>
      </c>
      <c r="S21" s="4">
        <f t="shared" si="0"/>
        <v>44.800000000000004</v>
      </c>
      <c r="V21">
        <v>19</v>
      </c>
      <c r="W21" s="10">
        <v>1</v>
      </c>
    </row>
    <row r="22" spans="1:23" x14ac:dyDescent="0.25">
      <c r="A22" s="2" t="s">
        <v>20</v>
      </c>
      <c r="B22" s="5">
        <v>12.47</v>
      </c>
      <c r="C22" s="5">
        <v>73.739999999999995</v>
      </c>
      <c r="D22" s="5">
        <v>105.26</v>
      </c>
      <c r="E22" s="5">
        <v>52.31</v>
      </c>
      <c r="F22" s="5">
        <v>83.71</v>
      </c>
      <c r="G22" s="5">
        <v>63.62</v>
      </c>
      <c r="H22" s="5">
        <v>33.51</v>
      </c>
      <c r="I22" s="5">
        <v>24.35</v>
      </c>
      <c r="J22" s="5">
        <v>12.17</v>
      </c>
      <c r="K22" s="5">
        <v>-0.46</v>
      </c>
      <c r="L22" s="5">
        <v>109.9</v>
      </c>
      <c r="M22" s="5">
        <v>77.010000000000005</v>
      </c>
      <c r="N22" s="5"/>
      <c r="O22" s="22"/>
      <c r="P22" s="10"/>
      <c r="Q22" s="16">
        <v>1</v>
      </c>
      <c r="R22" s="14">
        <v>54.406666666666666</v>
      </c>
      <c r="S22" s="4">
        <f t="shared" si="0"/>
        <v>40.536666666666669</v>
      </c>
      <c r="V22">
        <v>20</v>
      </c>
      <c r="W22" s="16">
        <v>1</v>
      </c>
    </row>
    <row r="23" spans="1:23" x14ac:dyDescent="0.25">
      <c r="A23" s="3" t="s">
        <v>21</v>
      </c>
      <c r="B23" s="5">
        <v>20.79</v>
      </c>
      <c r="C23" s="5">
        <v>66.17</v>
      </c>
      <c r="D23" s="5">
        <v>105.06</v>
      </c>
      <c r="E23" s="5">
        <v>50.01</v>
      </c>
      <c r="F23" s="5">
        <v>82.63</v>
      </c>
      <c r="G23" s="5">
        <v>60.47</v>
      </c>
      <c r="H23" s="5">
        <v>30.67</v>
      </c>
      <c r="I23" s="5">
        <v>23.17</v>
      </c>
      <c r="J23" s="5">
        <v>11.16</v>
      </c>
      <c r="K23" s="5">
        <v>-1.1000000000000001</v>
      </c>
      <c r="L23" s="5">
        <v>97.5</v>
      </c>
      <c r="M23" s="5">
        <v>75.7</v>
      </c>
      <c r="N23" s="5"/>
      <c r="O23" s="20">
        <f>AVERAGE(S23:S25)</f>
        <v>32.783333333333339</v>
      </c>
      <c r="P23" s="16"/>
      <c r="Q23" s="16">
        <v>0.8</v>
      </c>
      <c r="R23" s="14">
        <v>54.220000000000006</v>
      </c>
      <c r="S23" s="4">
        <f t="shared" si="0"/>
        <v>35.853333333333332</v>
      </c>
      <c r="V23">
        <v>21</v>
      </c>
      <c r="W23" s="16">
        <v>0.8</v>
      </c>
    </row>
    <row r="24" spans="1:23" x14ac:dyDescent="0.25">
      <c r="A24" s="2" t="s">
        <v>22</v>
      </c>
      <c r="B24" s="5">
        <v>31.04</v>
      </c>
      <c r="C24" s="5">
        <v>58.34</v>
      </c>
      <c r="D24" s="5">
        <v>81.67</v>
      </c>
      <c r="E24" s="5">
        <v>46.89</v>
      </c>
      <c r="F24" s="5">
        <v>17.87</v>
      </c>
      <c r="G24" s="5">
        <v>56.84</v>
      </c>
      <c r="H24" s="5">
        <v>20.75</v>
      </c>
      <c r="I24" s="5">
        <v>18.989999999999998</v>
      </c>
      <c r="J24" s="5">
        <v>8.93</v>
      </c>
      <c r="K24" s="5">
        <v>-1.26</v>
      </c>
      <c r="L24" s="5">
        <v>91.66</v>
      </c>
      <c r="M24" s="5">
        <v>60.8</v>
      </c>
      <c r="N24" s="5"/>
      <c r="O24" s="20"/>
      <c r="P24" s="9"/>
      <c r="Q24" s="16">
        <v>0.8</v>
      </c>
      <c r="R24" s="14">
        <v>50.06</v>
      </c>
      <c r="S24" s="4">
        <f t="shared" si="0"/>
        <v>33.11</v>
      </c>
      <c r="V24">
        <v>22</v>
      </c>
      <c r="W24" s="16">
        <v>0.8</v>
      </c>
    </row>
    <row r="25" spans="1:23" x14ac:dyDescent="0.25">
      <c r="A25" s="3" t="s">
        <v>23</v>
      </c>
      <c r="B25" s="5">
        <v>32.380000000000003</v>
      </c>
      <c r="C25" s="5">
        <v>49.59</v>
      </c>
      <c r="D25" s="5">
        <v>72.91</v>
      </c>
      <c r="E25" s="5">
        <v>43.66</v>
      </c>
      <c r="F25" s="5">
        <v>7.24</v>
      </c>
      <c r="G25" s="5">
        <v>51.48</v>
      </c>
      <c r="H25" s="5">
        <v>16.22</v>
      </c>
      <c r="I25" s="5">
        <v>17.559999999999999</v>
      </c>
      <c r="J25" s="5">
        <v>6.02</v>
      </c>
      <c r="K25" s="5">
        <v>-2.0699999999999998</v>
      </c>
      <c r="L25" s="5">
        <v>84.21</v>
      </c>
      <c r="M25" s="5">
        <v>69.47</v>
      </c>
      <c r="N25" s="5"/>
      <c r="O25" s="20"/>
      <c r="P25" s="16">
        <f>O23/$O$29</f>
        <v>0.75814303563417873</v>
      </c>
      <c r="Q25" s="16">
        <v>0.8</v>
      </c>
      <c r="R25" s="14">
        <v>50.48</v>
      </c>
      <c r="S25" s="4">
        <f t="shared" si="0"/>
        <v>29.386666666666667</v>
      </c>
      <c r="V25">
        <v>23</v>
      </c>
      <c r="W25" s="16">
        <v>0.8</v>
      </c>
    </row>
    <row r="26" spans="1:23" x14ac:dyDescent="0.25">
      <c r="A26" s="1"/>
    </row>
    <row r="27" spans="1:23" x14ac:dyDescent="0.25">
      <c r="A27" s="1"/>
    </row>
    <row r="28" spans="1:23" x14ac:dyDescent="0.25">
      <c r="A28" s="1"/>
      <c r="I28" t="s">
        <v>37</v>
      </c>
    </row>
    <row r="29" spans="1:23" x14ac:dyDescent="0.25">
      <c r="A29" s="1"/>
      <c r="I29" t="s">
        <v>39</v>
      </c>
      <c r="O29" s="5">
        <f>AVERAGE(O2:O25)</f>
        <v>43.241620370370377</v>
      </c>
      <c r="P29" s="5"/>
      <c r="Q29" s="5"/>
    </row>
    <row r="30" spans="1:23" x14ac:dyDescent="0.25">
      <c r="A30" s="1"/>
    </row>
    <row r="31" spans="1:23" x14ac:dyDescent="0.25">
      <c r="A31" s="1"/>
    </row>
    <row r="32" spans="1:23" x14ac:dyDescent="0.25">
      <c r="O32" s="15"/>
    </row>
  </sheetData>
  <mergeCells count="6">
    <mergeCell ref="O17:O22"/>
    <mergeCell ref="O23:O25"/>
    <mergeCell ref="O2:O7"/>
    <mergeCell ref="O8:O9"/>
    <mergeCell ref="O10:O12"/>
    <mergeCell ref="O13:O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C817-4DCA-4258-9325-1E28BC735AEF}">
  <dimension ref="A1:W32"/>
  <sheetViews>
    <sheetView workbookViewId="0">
      <selection activeCell="AA34" sqref="AA34"/>
    </sheetView>
  </sheetViews>
  <sheetFormatPr defaultRowHeight="15" x14ac:dyDescent="0.25"/>
  <cols>
    <col min="4" max="12" width="0" hidden="1" customWidth="1"/>
    <col min="18" max="18" width="0" hidden="1" customWidth="1"/>
  </cols>
  <sheetData>
    <row r="1" spans="1:23" x14ac:dyDescent="0.25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O1" s="1"/>
      <c r="P1" s="1" t="s">
        <v>38</v>
      </c>
      <c r="Q1" s="1" t="s">
        <v>43</v>
      </c>
      <c r="R1" s="1" t="s">
        <v>36</v>
      </c>
      <c r="S1" s="1" t="s">
        <v>36</v>
      </c>
      <c r="V1" t="s">
        <v>48</v>
      </c>
      <c r="W1" s="1" t="s">
        <v>43</v>
      </c>
    </row>
    <row r="2" spans="1:23" x14ac:dyDescent="0.25">
      <c r="A2" s="6" t="s">
        <v>0</v>
      </c>
      <c r="B2" s="5">
        <v>27.4</v>
      </c>
      <c r="C2" s="5">
        <v>72.17</v>
      </c>
      <c r="D2" s="5">
        <v>59.83</v>
      </c>
      <c r="E2" s="5">
        <v>28.21</v>
      </c>
      <c r="F2" s="5">
        <v>4.6500000000000004</v>
      </c>
      <c r="G2" s="5">
        <v>52.65</v>
      </c>
      <c r="H2" s="5">
        <v>37.340000000000003</v>
      </c>
      <c r="I2" s="5">
        <v>17.04</v>
      </c>
      <c r="J2" s="5">
        <v>14.49</v>
      </c>
      <c r="K2" s="5">
        <v>-4.37</v>
      </c>
      <c r="L2" s="5">
        <v>81.099999999999994</v>
      </c>
      <c r="M2" s="5">
        <v>86.13</v>
      </c>
      <c r="N2" s="5"/>
      <c r="O2" s="23">
        <f>AVERAGE(R2:R7, S24:S25)</f>
        <v>54.386666666666663</v>
      </c>
      <c r="P2" s="16"/>
      <c r="Q2" s="16" t="s">
        <v>45</v>
      </c>
      <c r="R2" s="14">
        <v>61.9</v>
      </c>
      <c r="S2" s="4">
        <f>AVERAGE(B2, C2, M2)</f>
        <v>61.9</v>
      </c>
      <c r="V2">
        <v>0</v>
      </c>
      <c r="W2" s="16">
        <v>0.8</v>
      </c>
    </row>
    <row r="3" spans="1:23" x14ac:dyDescent="0.25">
      <c r="A3" s="7" t="s">
        <v>1</v>
      </c>
      <c r="B3" s="5">
        <v>27.23</v>
      </c>
      <c r="C3" s="5">
        <v>69.290000000000006</v>
      </c>
      <c r="D3" s="5">
        <v>56.95</v>
      </c>
      <c r="E3" s="5">
        <v>28.15</v>
      </c>
      <c r="F3" s="5">
        <v>4.63</v>
      </c>
      <c r="G3" s="5">
        <v>48.47</v>
      </c>
      <c r="H3" s="5">
        <v>36.57</v>
      </c>
      <c r="I3" s="5">
        <v>16</v>
      </c>
      <c r="J3" s="5">
        <v>13.91</v>
      </c>
      <c r="K3" s="5">
        <v>-4.4000000000000004</v>
      </c>
      <c r="L3" s="5">
        <v>76.42</v>
      </c>
      <c r="M3" s="5">
        <v>82.93</v>
      </c>
      <c r="N3" s="5"/>
      <c r="O3" s="23"/>
      <c r="P3" s="16"/>
      <c r="Q3" s="16" t="s">
        <v>45</v>
      </c>
      <c r="R3" s="14">
        <v>59.81666666666667</v>
      </c>
      <c r="S3" s="4">
        <f t="shared" ref="S3:S25" si="0">AVERAGE(B3, C3, M3)</f>
        <v>59.81666666666667</v>
      </c>
      <c r="V3">
        <v>1</v>
      </c>
      <c r="W3" s="16">
        <v>0.8</v>
      </c>
    </row>
    <row r="4" spans="1:23" x14ac:dyDescent="0.25">
      <c r="A4" s="6" t="s">
        <v>2</v>
      </c>
      <c r="B4" s="5">
        <v>24.28</v>
      </c>
      <c r="C4" s="5">
        <v>66.94</v>
      </c>
      <c r="D4" s="5">
        <v>56.94</v>
      </c>
      <c r="E4" s="5">
        <v>28.59</v>
      </c>
      <c r="F4" s="5">
        <v>4.8</v>
      </c>
      <c r="G4" s="5">
        <v>48.34</v>
      </c>
      <c r="H4" s="5">
        <v>29.15</v>
      </c>
      <c r="I4" s="5">
        <v>14.89</v>
      </c>
      <c r="J4" s="5">
        <v>13.19</v>
      </c>
      <c r="K4" s="5">
        <v>-4.43</v>
      </c>
      <c r="L4" s="5">
        <v>72.900000000000006</v>
      </c>
      <c r="M4" s="5">
        <v>80.099999999999994</v>
      </c>
      <c r="N4" s="5"/>
      <c r="O4" s="23"/>
      <c r="P4" s="16">
        <f>O2/$O$29</f>
        <v>0.77140327719264956</v>
      </c>
      <c r="Q4" s="16" t="s">
        <v>45</v>
      </c>
      <c r="R4" s="14">
        <v>57.106666666666662</v>
      </c>
      <c r="S4" s="4">
        <f t="shared" si="0"/>
        <v>57.106666666666662</v>
      </c>
      <c r="V4">
        <v>2</v>
      </c>
      <c r="W4" s="16">
        <v>0.8</v>
      </c>
    </row>
    <row r="5" spans="1:23" x14ac:dyDescent="0.25">
      <c r="A5" s="7" t="s">
        <v>3</v>
      </c>
      <c r="B5" s="5">
        <v>13</v>
      </c>
      <c r="C5" s="5">
        <v>67.78</v>
      </c>
      <c r="D5" s="5">
        <v>56.97</v>
      </c>
      <c r="E5" s="5">
        <v>29.92</v>
      </c>
      <c r="F5" s="5">
        <v>5.0999999999999996</v>
      </c>
      <c r="G5" s="5">
        <v>50.26</v>
      </c>
      <c r="H5" s="5">
        <v>19.95</v>
      </c>
      <c r="I5" s="5">
        <v>15.18</v>
      </c>
      <c r="J5" s="5">
        <v>12.47</v>
      </c>
      <c r="K5" s="5">
        <v>-4.3499999999999996</v>
      </c>
      <c r="L5" s="5">
        <v>70.69</v>
      </c>
      <c r="M5" s="5">
        <v>76.55</v>
      </c>
      <c r="N5" s="5"/>
      <c r="O5" s="23"/>
      <c r="P5" s="16"/>
      <c r="Q5" s="16" t="s">
        <v>45</v>
      </c>
      <c r="R5" s="14">
        <v>52.443333333333328</v>
      </c>
      <c r="S5" s="4">
        <f t="shared" si="0"/>
        <v>52.443333333333328</v>
      </c>
      <c r="V5">
        <v>3</v>
      </c>
      <c r="W5" s="16">
        <v>0.8</v>
      </c>
    </row>
    <row r="6" spans="1:23" x14ac:dyDescent="0.25">
      <c r="A6" s="6" t="s">
        <v>4</v>
      </c>
      <c r="B6" s="5">
        <v>7.98</v>
      </c>
      <c r="C6" s="5">
        <v>72.17</v>
      </c>
      <c r="D6" s="5">
        <v>54.97</v>
      </c>
      <c r="E6" s="5">
        <v>32.32</v>
      </c>
      <c r="F6" s="5">
        <v>5.28</v>
      </c>
      <c r="G6" s="5">
        <v>51.87</v>
      </c>
      <c r="H6" s="5">
        <v>16.98</v>
      </c>
      <c r="I6" s="5">
        <v>15.31</v>
      </c>
      <c r="J6" s="5">
        <v>12.5</v>
      </c>
      <c r="K6" s="5">
        <v>-4.33</v>
      </c>
      <c r="L6" s="5">
        <v>74.45</v>
      </c>
      <c r="M6" s="5">
        <v>75.16</v>
      </c>
      <c r="N6" s="5"/>
      <c r="O6" s="23"/>
      <c r="P6" s="16"/>
      <c r="Q6" s="16" t="s">
        <v>45</v>
      </c>
      <c r="R6" s="14">
        <v>51.77</v>
      </c>
      <c r="S6" s="4">
        <f t="shared" si="0"/>
        <v>51.77</v>
      </c>
      <c r="V6">
        <v>4</v>
      </c>
      <c r="W6" s="16">
        <v>0.8</v>
      </c>
    </row>
    <row r="7" spans="1:23" x14ac:dyDescent="0.25">
      <c r="A7" s="7" t="s">
        <v>5</v>
      </c>
      <c r="B7" s="5">
        <v>4.8499999999999996</v>
      </c>
      <c r="C7" s="5">
        <v>69.290000000000006</v>
      </c>
      <c r="D7" s="5">
        <v>57.23</v>
      </c>
      <c r="E7" s="5">
        <v>38.01</v>
      </c>
      <c r="F7" s="5">
        <v>6.69</v>
      </c>
      <c r="G7" s="5">
        <v>58.5</v>
      </c>
      <c r="H7" s="5">
        <v>13.69</v>
      </c>
      <c r="I7" s="5">
        <v>17.350000000000001</v>
      </c>
      <c r="J7" s="5">
        <v>12.49</v>
      </c>
      <c r="K7" s="5">
        <v>-3.97</v>
      </c>
      <c r="L7" s="5">
        <v>80.680000000000007</v>
      </c>
      <c r="M7" s="5">
        <v>80.41</v>
      </c>
      <c r="N7" s="5"/>
      <c r="O7" s="23"/>
      <c r="Q7" s="16" t="s">
        <v>45</v>
      </c>
      <c r="R7" s="14">
        <v>51.516666666666673</v>
      </c>
      <c r="S7" s="4">
        <f t="shared" si="0"/>
        <v>51.516666666666673</v>
      </c>
      <c r="V7">
        <v>5</v>
      </c>
      <c r="W7" s="16">
        <v>0.8</v>
      </c>
    </row>
    <row r="8" spans="1:23" x14ac:dyDescent="0.25">
      <c r="A8" s="2" t="s">
        <v>6</v>
      </c>
      <c r="B8" s="5">
        <v>6.05</v>
      </c>
      <c r="C8" s="5">
        <v>109.05</v>
      </c>
      <c r="D8" s="5">
        <v>112.86</v>
      </c>
      <c r="E8" s="5">
        <v>39.11</v>
      </c>
      <c r="F8" s="5">
        <v>14.51</v>
      </c>
      <c r="G8" s="5">
        <v>60.69</v>
      </c>
      <c r="H8" s="5">
        <v>19.899999999999999</v>
      </c>
      <c r="I8" s="5">
        <v>19.170000000000002</v>
      </c>
      <c r="J8" s="5">
        <v>13.93</v>
      </c>
      <c r="K8" s="5">
        <v>-3.32</v>
      </c>
      <c r="L8" s="5">
        <v>98.69</v>
      </c>
      <c r="M8" s="5">
        <v>95.97</v>
      </c>
      <c r="N8" s="5"/>
      <c r="O8" s="20">
        <f>AVERAGE(R8:R9)</f>
        <v>73.513333333333335</v>
      </c>
      <c r="P8" s="9"/>
      <c r="Q8" s="9" t="s">
        <v>47</v>
      </c>
      <c r="R8" s="14">
        <v>70.356666666666669</v>
      </c>
      <c r="S8" s="4">
        <f t="shared" si="0"/>
        <v>70.356666666666669</v>
      </c>
      <c r="V8">
        <v>6</v>
      </c>
      <c r="W8" s="9">
        <v>1</v>
      </c>
    </row>
    <row r="9" spans="1:23" x14ac:dyDescent="0.25">
      <c r="A9" s="3" t="s">
        <v>7</v>
      </c>
      <c r="B9" s="5">
        <v>10.09</v>
      </c>
      <c r="C9" s="5">
        <v>112.97</v>
      </c>
      <c r="D9" s="5">
        <v>136.33000000000001</v>
      </c>
      <c r="E9" s="5">
        <v>41.17</v>
      </c>
      <c r="F9" s="5">
        <v>92.26</v>
      </c>
      <c r="G9" s="5">
        <v>67.459999999999994</v>
      </c>
      <c r="H9" s="5">
        <v>22.6</v>
      </c>
      <c r="I9" s="5">
        <v>22.86</v>
      </c>
      <c r="J9" s="5">
        <v>28.97</v>
      </c>
      <c r="K9" s="5">
        <v>-3.01</v>
      </c>
      <c r="L9" s="5">
        <v>122.19</v>
      </c>
      <c r="M9" s="5">
        <v>106.95</v>
      </c>
      <c r="N9" s="5"/>
      <c r="O9" s="20"/>
      <c r="P9" s="16">
        <f>O8/$O$29</f>
        <v>1.042689867320832</v>
      </c>
      <c r="Q9" s="9" t="s">
        <v>47</v>
      </c>
      <c r="R9" s="14">
        <v>76.67</v>
      </c>
      <c r="S9" s="4">
        <f t="shared" si="0"/>
        <v>76.67</v>
      </c>
      <c r="V9">
        <v>7</v>
      </c>
      <c r="W9" s="9">
        <v>1</v>
      </c>
    </row>
    <row r="10" spans="1:23" x14ac:dyDescent="0.25">
      <c r="A10" s="2" t="s">
        <v>8</v>
      </c>
      <c r="B10" s="5">
        <v>14.03</v>
      </c>
      <c r="C10" s="5">
        <v>182.72</v>
      </c>
      <c r="D10" s="5">
        <v>148.68</v>
      </c>
      <c r="E10" s="5">
        <v>50.05</v>
      </c>
      <c r="F10" s="5">
        <v>94.13</v>
      </c>
      <c r="G10" s="5">
        <v>72.260000000000005</v>
      </c>
      <c r="H10" s="5">
        <v>29.87</v>
      </c>
      <c r="I10" s="5">
        <v>26.26</v>
      </c>
      <c r="J10" s="5">
        <v>125.07</v>
      </c>
      <c r="K10" s="5">
        <v>-2.61</v>
      </c>
      <c r="L10" s="5">
        <v>128.59</v>
      </c>
      <c r="M10" s="5">
        <v>121.5</v>
      </c>
      <c r="N10" s="5"/>
      <c r="O10" s="22">
        <f>AVERAGE(S10:S12)</f>
        <v>95.801111111111098</v>
      </c>
      <c r="P10" s="10"/>
      <c r="Q10" s="9" t="s">
        <v>49</v>
      </c>
      <c r="R10" s="14">
        <v>106.08333333333333</v>
      </c>
      <c r="S10" s="4">
        <f t="shared" si="0"/>
        <v>106.08333333333333</v>
      </c>
      <c r="V10">
        <v>8</v>
      </c>
      <c r="W10" s="9">
        <v>1.4</v>
      </c>
    </row>
    <row r="11" spans="1:23" x14ac:dyDescent="0.25">
      <c r="A11" s="3" t="s">
        <v>9</v>
      </c>
      <c r="B11" s="5">
        <v>19.07</v>
      </c>
      <c r="C11" s="5">
        <v>150.97999999999999</v>
      </c>
      <c r="D11" s="5">
        <v>111.63</v>
      </c>
      <c r="E11" s="5">
        <v>50.02</v>
      </c>
      <c r="F11" s="5">
        <v>87.33</v>
      </c>
      <c r="G11" s="5">
        <v>69.900000000000006</v>
      </c>
      <c r="H11" s="5">
        <v>17.41</v>
      </c>
      <c r="I11" s="5">
        <v>27.94</v>
      </c>
      <c r="J11" s="5">
        <v>104.38</v>
      </c>
      <c r="K11" s="5">
        <v>-3.03</v>
      </c>
      <c r="L11" s="5">
        <v>121.29</v>
      </c>
      <c r="M11" s="5">
        <v>117.44</v>
      </c>
      <c r="N11" s="5"/>
      <c r="O11" s="22"/>
      <c r="P11" s="16">
        <f>O10/$O$29</f>
        <v>1.3588126575718606</v>
      </c>
      <c r="Q11" s="9" t="s">
        <v>49</v>
      </c>
      <c r="R11" s="14">
        <v>95.83</v>
      </c>
      <c r="S11" s="4">
        <f t="shared" si="0"/>
        <v>95.83</v>
      </c>
      <c r="V11">
        <v>9</v>
      </c>
      <c r="W11" s="9">
        <v>1.4</v>
      </c>
    </row>
    <row r="12" spans="1:23" x14ac:dyDescent="0.25">
      <c r="A12" s="2" t="s">
        <v>10</v>
      </c>
      <c r="B12" s="5">
        <v>17.829999999999998</v>
      </c>
      <c r="C12" s="5">
        <v>128.66999999999999</v>
      </c>
      <c r="D12" s="5">
        <v>103.27</v>
      </c>
      <c r="E12" s="5">
        <v>43.93</v>
      </c>
      <c r="F12" s="5">
        <v>52.98</v>
      </c>
      <c r="G12" s="5">
        <v>68.540000000000006</v>
      </c>
      <c r="H12" s="5">
        <v>4.6900000000000004</v>
      </c>
      <c r="I12" s="5">
        <v>25.97</v>
      </c>
      <c r="J12" s="5">
        <v>49.94</v>
      </c>
      <c r="K12" s="5">
        <v>-3.01</v>
      </c>
      <c r="L12" s="5">
        <v>112.78</v>
      </c>
      <c r="M12" s="5">
        <v>109.97</v>
      </c>
      <c r="N12" s="5"/>
      <c r="O12" s="22"/>
      <c r="P12" s="10"/>
      <c r="Q12" s="9" t="s">
        <v>49</v>
      </c>
      <c r="R12" s="14">
        <v>85.490000000000009</v>
      </c>
      <c r="S12" s="4">
        <f t="shared" si="0"/>
        <v>85.490000000000009</v>
      </c>
      <c r="V12">
        <v>10</v>
      </c>
      <c r="W12" s="9">
        <v>1.4</v>
      </c>
    </row>
    <row r="13" spans="1:23" x14ac:dyDescent="0.25">
      <c r="A13" s="3" t="s">
        <v>11</v>
      </c>
      <c r="B13" s="5">
        <v>11.7</v>
      </c>
      <c r="C13" s="5">
        <v>114.74</v>
      </c>
      <c r="D13" s="5">
        <v>60.06</v>
      </c>
      <c r="E13" s="5">
        <v>41.4</v>
      </c>
      <c r="F13" s="5">
        <v>30.45</v>
      </c>
      <c r="G13" s="5">
        <v>67.73</v>
      </c>
      <c r="H13" s="5">
        <v>0.02</v>
      </c>
      <c r="I13" s="5">
        <v>24.59</v>
      </c>
      <c r="J13" s="5">
        <v>28.96</v>
      </c>
      <c r="K13" s="5">
        <v>-3.04</v>
      </c>
      <c r="L13" s="5">
        <v>99.84</v>
      </c>
      <c r="M13" s="5">
        <v>102.75</v>
      </c>
      <c r="N13" s="5"/>
      <c r="O13" s="22">
        <f>AVERAGE(S13:S17)</f>
        <v>71.719333333333338</v>
      </c>
      <c r="P13" s="10"/>
      <c r="Q13" s="9" t="s">
        <v>49</v>
      </c>
      <c r="R13" s="14">
        <v>76.396666666666661</v>
      </c>
      <c r="S13" s="4">
        <f t="shared" si="0"/>
        <v>76.396666666666661</v>
      </c>
      <c r="V13">
        <v>11</v>
      </c>
      <c r="W13" s="9">
        <v>1.4</v>
      </c>
    </row>
    <row r="14" spans="1:23" x14ac:dyDescent="0.25">
      <c r="A14" s="2" t="s">
        <v>12</v>
      </c>
      <c r="B14" s="5">
        <v>6.93</v>
      </c>
      <c r="C14" s="5">
        <v>113.52</v>
      </c>
      <c r="D14" s="5">
        <v>53.13</v>
      </c>
      <c r="E14" s="5">
        <v>40.549999999999997</v>
      </c>
      <c r="F14" s="5">
        <v>14.94</v>
      </c>
      <c r="G14" s="5">
        <v>68.069999999999993</v>
      </c>
      <c r="H14" s="5">
        <v>0.01</v>
      </c>
      <c r="I14" s="5">
        <v>23.85</v>
      </c>
      <c r="J14" s="5">
        <v>21.98</v>
      </c>
      <c r="K14" s="5">
        <v>-3.07</v>
      </c>
      <c r="L14" s="5">
        <v>97.36</v>
      </c>
      <c r="M14" s="5">
        <v>94.13</v>
      </c>
      <c r="N14" s="5"/>
      <c r="O14" s="22"/>
      <c r="P14" s="10"/>
      <c r="Q14" s="10" t="s">
        <v>47</v>
      </c>
      <c r="R14" s="14">
        <v>71.526666666666657</v>
      </c>
      <c r="S14" s="4">
        <f t="shared" si="0"/>
        <v>71.526666666666657</v>
      </c>
      <c r="V14">
        <v>12</v>
      </c>
      <c r="W14" s="10">
        <v>1</v>
      </c>
    </row>
    <row r="15" spans="1:23" x14ac:dyDescent="0.25">
      <c r="A15" s="3" t="s">
        <v>13</v>
      </c>
      <c r="B15" s="5">
        <v>6.04</v>
      </c>
      <c r="C15" s="5">
        <v>112.87</v>
      </c>
      <c r="D15" s="5">
        <v>50.77</v>
      </c>
      <c r="E15" s="5">
        <v>40.01</v>
      </c>
      <c r="F15" s="5">
        <v>11.62</v>
      </c>
      <c r="G15" s="5">
        <v>70.150000000000006</v>
      </c>
      <c r="H15" s="5">
        <v>-0.13</v>
      </c>
      <c r="I15" s="5">
        <v>22.89</v>
      </c>
      <c r="J15" s="5">
        <v>15.87</v>
      </c>
      <c r="K15" s="5">
        <v>-3.06</v>
      </c>
      <c r="L15" s="5">
        <v>101.09</v>
      </c>
      <c r="M15" s="5">
        <v>88.3</v>
      </c>
      <c r="N15" s="5"/>
      <c r="O15" s="22"/>
      <c r="P15" s="10"/>
      <c r="Q15" s="10" t="s">
        <v>47</v>
      </c>
      <c r="R15" s="14">
        <v>69.070000000000007</v>
      </c>
      <c r="S15" s="4">
        <f t="shared" si="0"/>
        <v>69.070000000000007</v>
      </c>
      <c r="V15">
        <v>13</v>
      </c>
      <c r="W15" s="10">
        <v>1</v>
      </c>
    </row>
    <row r="16" spans="1:23" x14ac:dyDescent="0.25">
      <c r="A16" s="2" t="s">
        <v>14</v>
      </c>
      <c r="B16" s="5">
        <v>6.09</v>
      </c>
      <c r="C16" s="5">
        <v>112.83</v>
      </c>
      <c r="D16" s="5">
        <v>60.02</v>
      </c>
      <c r="E16" s="5">
        <v>40.07</v>
      </c>
      <c r="F16" s="5">
        <v>8.9499999999999993</v>
      </c>
      <c r="G16" s="5">
        <v>69.94</v>
      </c>
      <c r="H16" s="5">
        <v>-1.03</v>
      </c>
      <c r="I16" s="5">
        <v>22.98</v>
      </c>
      <c r="J16" s="5">
        <v>15.66</v>
      </c>
      <c r="K16" s="5">
        <v>-2.61</v>
      </c>
      <c r="L16" s="5">
        <v>106.27</v>
      </c>
      <c r="M16" s="5">
        <v>86.34</v>
      </c>
      <c r="N16" s="5"/>
      <c r="O16" s="22"/>
      <c r="P16" s="16">
        <f>O13/$O$29</f>
        <v>1.0172443387730823</v>
      </c>
      <c r="Q16" s="10" t="s">
        <v>47</v>
      </c>
      <c r="R16" s="14">
        <v>68.42</v>
      </c>
      <c r="S16" s="4">
        <f t="shared" si="0"/>
        <v>68.42</v>
      </c>
      <c r="V16">
        <v>14</v>
      </c>
      <c r="W16" s="10">
        <v>1</v>
      </c>
    </row>
    <row r="17" spans="1:23" x14ac:dyDescent="0.25">
      <c r="A17" s="3" t="s">
        <v>15</v>
      </c>
      <c r="B17" s="5">
        <v>19.100000000000001</v>
      </c>
      <c r="C17" s="5">
        <v>112.75</v>
      </c>
      <c r="D17" s="5">
        <v>91.65</v>
      </c>
      <c r="E17" s="5">
        <v>40.68</v>
      </c>
      <c r="F17" s="5">
        <v>11.92</v>
      </c>
      <c r="G17" s="5">
        <v>68</v>
      </c>
      <c r="H17" s="5">
        <v>-0.1</v>
      </c>
      <c r="I17" s="5">
        <v>23.16</v>
      </c>
      <c r="J17" s="5">
        <v>15.42</v>
      </c>
      <c r="K17" s="5">
        <v>-2.1</v>
      </c>
      <c r="L17" s="5">
        <v>121.21</v>
      </c>
      <c r="M17" s="5">
        <v>87.7</v>
      </c>
      <c r="N17" s="5"/>
      <c r="O17" s="22"/>
      <c r="P17" s="10"/>
      <c r="Q17" s="10" t="s">
        <v>47</v>
      </c>
      <c r="R17" s="14">
        <v>73.183333333333337</v>
      </c>
      <c r="S17" s="4">
        <f t="shared" si="0"/>
        <v>73.183333333333337</v>
      </c>
      <c r="V17">
        <v>15</v>
      </c>
      <c r="W17" s="10">
        <v>1</v>
      </c>
    </row>
    <row r="18" spans="1:23" x14ac:dyDescent="0.25">
      <c r="A18" s="2" t="s">
        <v>16</v>
      </c>
      <c r="B18" s="5">
        <v>27.43</v>
      </c>
      <c r="C18" s="5">
        <v>112.88</v>
      </c>
      <c r="D18" s="5">
        <v>101.05</v>
      </c>
      <c r="E18" s="5">
        <v>41.18</v>
      </c>
      <c r="F18" s="5">
        <v>39.97</v>
      </c>
      <c r="G18" s="5">
        <v>67.02</v>
      </c>
      <c r="H18" s="5">
        <v>1.77</v>
      </c>
      <c r="I18" s="5">
        <v>24.35</v>
      </c>
      <c r="J18" s="5">
        <v>16.100000000000001</v>
      </c>
      <c r="K18" s="5">
        <v>-1.1200000000000001</v>
      </c>
      <c r="L18" s="5">
        <v>122.96</v>
      </c>
      <c r="M18" s="5">
        <v>95.77</v>
      </c>
      <c r="N18" s="5"/>
      <c r="O18" s="22">
        <f>AVERAGE(S18:S21)</f>
        <v>75.309166666666655</v>
      </c>
      <c r="P18" s="10"/>
      <c r="Q18" s="10" t="s">
        <v>46</v>
      </c>
      <c r="R18" s="14">
        <v>78.693333333333328</v>
      </c>
      <c r="S18" s="4">
        <f t="shared" si="0"/>
        <v>78.693333333333328</v>
      </c>
      <c r="V18">
        <v>16</v>
      </c>
      <c r="W18" s="10">
        <v>1.2</v>
      </c>
    </row>
    <row r="19" spans="1:23" x14ac:dyDescent="0.25">
      <c r="A19" s="3" t="s">
        <v>17</v>
      </c>
      <c r="B19" s="5">
        <v>30.9</v>
      </c>
      <c r="C19" s="5">
        <v>112.18</v>
      </c>
      <c r="D19" s="5">
        <v>108.07</v>
      </c>
      <c r="E19" s="5">
        <v>45.79</v>
      </c>
      <c r="F19" s="5">
        <v>73.55</v>
      </c>
      <c r="G19" s="5">
        <v>67.91</v>
      </c>
      <c r="H19" s="5">
        <v>20.9</v>
      </c>
      <c r="I19" s="5">
        <v>24.9</v>
      </c>
      <c r="J19" s="5">
        <v>16.79</v>
      </c>
      <c r="K19" s="5">
        <v>-0.03</v>
      </c>
      <c r="L19" s="5">
        <v>127.84</v>
      </c>
      <c r="M19" s="5">
        <v>92.65</v>
      </c>
      <c r="N19" s="5"/>
      <c r="O19" s="22"/>
      <c r="P19" s="10"/>
      <c r="Q19" s="10" t="s">
        <v>46</v>
      </c>
      <c r="R19" s="14">
        <v>78.576666666666668</v>
      </c>
      <c r="S19" s="4">
        <f t="shared" si="0"/>
        <v>78.576666666666668</v>
      </c>
      <c r="V19">
        <v>17</v>
      </c>
      <c r="W19" s="10">
        <v>1.2</v>
      </c>
    </row>
    <row r="20" spans="1:23" x14ac:dyDescent="0.25">
      <c r="A20" s="2" t="s">
        <v>18</v>
      </c>
      <c r="B20" s="5">
        <v>27.61</v>
      </c>
      <c r="C20" s="5">
        <v>108.92</v>
      </c>
      <c r="D20" s="5">
        <v>111.23</v>
      </c>
      <c r="E20" s="5">
        <v>51.78</v>
      </c>
      <c r="F20" s="5">
        <v>80.3</v>
      </c>
      <c r="G20" s="5">
        <v>69.91</v>
      </c>
      <c r="H20" s="5">
        <v>35.51</v>
      </c>
      <c r="I20" s="5">
        <v>23.98</v>
      </c>
      <c r="J20" s="5">
        <v>15.55</v>
      </c>
      <c r="K20" s="5">
        <v>0</v>
      </c>
      <c r="L20" s="5">
        <v>129.9</v>
      </c>
      <c r="M20" s="5">
        <v>84.91</v>
      </c>
      <c r="N20" s="5"/>
      <c r="O20" s="22"/>
      <c r="P20" s="16">
        <f>O18/$O$29</f>
        <v>1.068161399288688</v>
      </c>
      <c r="Q20" s="10" t="s">
        <v>46</v>
      </c>
      <c r="R20" s="14">
        <v>73.813333333333333</v>
      </c>
      <c r="S20" s="4">
        <f t="shared" si="0"/>
        <v>73.813333333333333</v>
      </c>
      <c r="V20">
        <v>18</v>
      </c>
      <c r="W20" s="10">
        <v>1.2</v>
      </c>
    </row>
    <row r="21" spans="1:23" x14ac:dyDescent="0.25">
      <c r="A21" s="3" t="s">
        <v>19</v>
      </c>
      <c r="B21" s="5">
        <v>25.9</v>
      </c>
      <c r="C21" s="5">
        <v>104.96</v>
      </c>
      <c r="D21" s="5">
        <v>109.53</v>
      </c>
      <c r="E21" s="5">
        <v>54.53</v>
      </c>
      <c r="F21" s="5">
        <v>82.8</v>
      </c>
      <c r="G21" s="5">
        <v>68.69</v>
      </c>
      <c r="H21" s="5">
        <v>35.79</v>
      </c>
      <c r="I21" s="5">
        <v>22.87</v>
      </c>
      <c r="J21" s="5">
        <v>13.33</v>
      </c>
      <c r="K21" s="5">
        <v>-0.01</v>
      </c>
      <c r="L21" s="5">
        <v>121.08</v>
      </c>
      <c r="M21" s="5">
        <v>79.599999999999994</v>
      </c>
      <c r="N21" s="5"/>
      <c r="O21" s="22"/>
      <c r="P21" s="10"/>
      <c r="Q21" s="10" t="s">
        <v>46</v>
      </c>
      <c r="R21" s="14">
        <v>70.153333333333322</v>
      </c>
      <c r="S21" s="4">
        <f t="shared" si="0"/>
        <v>70.153333333333322</v>
      </c>
      <c r="V21">
        <v>19</v>
      </c>
      <c r="W21" s="10">
        <v>1.2</v>
      </c>
    </row>
    <row r="22" spans="1:23" x14ac:dyDescent="0.25">
      <c r="A22" s="2" t="s">
        <v>20</v>
      </c>
      <c r="B22" s="5">
        <v>12.47</v>
      </c>
      <c r="C22" s="5">
        <v>73.739999999999995</v>
      </c>
      <c r="D22" s="5">
        <v>105.26</v>
      </c>
      <c r="E22" s="5">
        <v>52.31</v>
      </c>
      <c r="F22" s="5">
        <v>83.71</v>
      </c>
      <c r="G22" s="5">
        <v>63.62</v>
      </c>
      <c r="H22" s="5">
        <v>33.51</v>
      </c>
      <c r="I22" s="5">
        <v>24.35</v>
      </c>
      <c r="J22" s="5">
        <v>12.17</v>
      </c>
      <c r="K22" s="5">
        <v>-0.46</v>
      </c>
      <c r="L22" s="5">
        <v>109.9</v>
      </c>
      <c r="M22" s="5">
        <v>77.010000000000005</v>
      </c>
      <c r="N22" s="5"/>
      <c r="O22" s="20">
        <f>AVERAGE(S22:S25)</f>
        <v>52.291666666666664</v>
      </c>
      <c r="P22" s="10"/>
      <c r="Q22" s="16" t="s">
        <v>45</v>
      </c>
      <c r="R22" s="14">
        <v>54.406666666666666</v>
      </c>
      <c r="S22" s="4">
        <f t="shared" si="0"/>
        <v>54.406666666666666</v>
      </c>
      <c r="V22">
        <v>20</v>
      </c>
      <c r="W22" s="16">
        <v>0.8</v>
      </c>
    </row>
    <row r="23" spans="1:23" x14ac:dyDescent="0.25">
      <c r="A23" s="3" t="s">
        <v>21</v>
      </c>
      <c r="B23" s="5">
        <v>20.79</v>
      </c>
      <c r="C23" s="5">
        <v>66.17</v>
      </c>
      <c r="D23" s="5">
        <v>105.06</v>
      </c>
      <c r="E23" s="5">
        <v>50.01</v>
      </c>
      <c r="F23" s="5">
        <v>82.63</v>
      </c>
      <c r="G23" s="5">
        <v>60.47</v>
      </c>
      <c r="H23" s="5">
        <v>30.67</v>
      </c>
      <c r="I23" s="5">
        <v>23.17</v>
      </c>
      <c r="J23" s="5">
        <v>11.16</v>
      </c>
      <c r="K23" s="5">
        <v>-1.1000000000000001</v>
      </c>
      <c r="L23" s="5">
        <v>97.5</v>
      </c>
      <c r="M23" s="5">
        <v>75.7</v>
      </c>
      <c r="N23" s="5"/>
      <c r="O23" s="20"/>
      <c r="P23" s="16"/>
      <c r="Q23" s="16" t="s">
        <v>45</v>
      </c>
      <c r="R23" s="14">
        <v>54.220000000000006</v>
      </c>
      <c r="S23" s="4">
        <f t="shared" si="0"/>
        <v>54.220000000000006</v>
      </c>
      <c r="V23">
        <v>21</v>
      </c>
      <c r="W23" s="16">
        <v>0.8</v>
      </c>
    </row>
    <row r="24" spans="1:23" x14ac:dyDescent="0.25">
      <c r="A24" s="2" t="s">
        <v>22</v>
      </c>
      <c r="B24" s="5">
        <v>31.04</v>
      </c>
      <c r="C24" s="5">
        <v>58.34</v>
      </c>
      <c r="D24" s="5">
        <v>81.67</v>
      </c>
      <c r="E24" s="5">
        <v>46.89</v>
      </c>
      <c r="F24" s="5">
        <v>17.87</v>
      </c>
      <c r="G24" s="5">
        <v>56.84</v>
      </c>
      <c r="H24" s="5">
        <v>20.75</v>
      </c>
      <c r="I24" s="5">
        <v>18.989999999999998</v>
      </c>
      <c r="J24" s="5">
        <v>8.93</v>
      </c>
      <c r="K24" s="5">
        <v>-1.26</v>
      </c>
      <c r="L24" s="5">
        <v>91.66</v>
      </c>
      <c r="M24" s="5">
        <v>60.8</v>
      </c>
      <c r="N24" s="5"/>
      <c r="O24" s="20"/>
      <c r="P24" s="9"/>
      <c r="Q24" s="16" t="s">
        <v>45</v>
      </c>
      <c r="R24" s="14">
        <v>50.06</v>
      </c>
      <c r="S24" s="4">
        <f t="shared" si="0"/>
        <v>50.06</v>
      </c>
      <c r="V24">
        <v>22</v>
      </c>
      <c r="W24" s="16">
        <v>0.8</v>
      </c>
    </row>
    <row r="25" spans="1:23" x14ac:dyDescent="0.25">
      <c r="A25" s="3" t="s">
        <v>23</v>
      </c>
      <c r="B25" s="5">
        <v>32.380000000000003</v>
      </c>
      <c r="C25" s="5">
        <v>49.59</v>
      </c>
      <c r="D25" s="5">
        <v>72.91</v>
      </c>
      <c r="E25" s="5">
        <v>43.66</v>
      </c>
      <c r="F25" s="5">
        <v>7.24</v>
      </c>
      <c r="G25" s="5">
        <v>51.48</v>
      </c>
      <c r="H25" s="5">
        <v>16.22</v>
      </c>
      <c r="I25" s="5">
        <v>17.559999999999999</v>
      </c>
      <c r="J25" s="5">
        <v>6.02</v>
      </c>
      <c r="K25" s="5">
        <v>-2.0699999999999998</v>
      </c>
      <c r="L25" s="5">
        <v>84.21</v>
      </c>
      <c r="M25" s="5">
        <v>69.47</v>
      </c>
      <c r="N25" s="5"/>
      <c r="O25" s="20"/>
      <c r="P25" s="16">
        <f>O22/$O$29</f>
        <v>0.74168845985288612</v>
      </c>
      <c r="Q25" s="16" t="s">
        <v>45</v>
      </c>
      <c r="R25" s="14">
        <v>50.48</v>
      </c>
      <c r="S25" s="4">
        <f t="shared" si="0"/>
        <v>50.48</v>
      </c>
      <c r="V25">
        <v>23</v>
      </c>
      <c r="W25" s="16">
        <v>0.8</v>
      </c>
    </row>
    <row r="26" spans="1:23" x14ac:dyDescent="0.25">
      <c r="A26" s="1"/>
    </row>
    <row r="27" spans="1:23" x14ac:dyDescent="0.25">
      <c r="A27" s="1"/>
    </row>
    <row r="28" spans="1:23" x14ac:dyDescent="0.25">
      <c r="A28" s="1"/>
      <c r="I28" t="s">
        <v>37</v>
      </c>
    </row>
    <row r="29" spans="1:23" x14ac:dyDescent="0.25">
      <c r="A29" s="1"/>
      <c r="I29" t="s">
        <v>39</v>
      </c>
      <c r="O29" s="5">
        <f>AVERAGE(O2:O25)</f>
        <v>70.503546296296307</v>
      </c>
      <c r="P29" s="5"/>
      <c r="Q29" s="5"/>
    </row>
    <row r="30" spans="1:23" x14ac:dyDescent="0.25">
      <c r="A30" s="1"/>
    </row>
    <row r="31" spans="1:23" x14ac:dyDescent="0.25">
      <c r="A31" s="1"/>
    </row>
    <row r="32" spans="1:23" x14ac:dyDescent="0.25">
      <c r="O32" s="15"/>
    </row>
  </sheetData>
  <mergeCells count="6">
    <mergeCell ref="O13:O17"/>
    <mergeCell ref="O10:O12"/>
    <mergeCell ref="O22:O25"/>
    <mergeCell ref="O18:O21"/>
    <mergeCell ref="O2:O7"/>
    <mergeCell ref="O8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Spring</vt:lpstr>
      <vt:lpstr>Summer</vt:lpstr>
      <vt:lpstr>Autumn</vt:lpstr>
      <vt:lpstr>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Parishwad</dc:creator>
  <cp:lastModifiedBy>Omkar Parishwad</cp:lastModifiedBy>
  <dcterms:created xsi:type="dcterms:W3CDTF">2024-08-08T09:18:23Z</dcterms:created>
  <dcterms:modified xsi:type="dcterms:W3CDTF">2026-06-30T11:04:30Z</dcterms:modified>
</cp:coreProperties>
</file>